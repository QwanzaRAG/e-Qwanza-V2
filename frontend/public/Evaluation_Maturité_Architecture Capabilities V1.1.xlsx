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8_{5BB2D043-5A54-46F7-9168-A6C96D1641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estionnaire" sheetId="5" r:id="rId1"/>
    <sheet name="Synthèse Résultats" sheetId="6" r:id="rId2"/>
    <sheet name="Urgent" sheetId="11" r:id="rId3"/>
    <sheet name="A améliorer" sheetId="12" r:id="rId4"/>
    <sheet name="Maintenir et renforcer" sheetId="13" r:id="rId5"/>
    <sheet name="Référentiel" sheetId="1" state="hidden" r:id="rId6"/>
    <sheet name="Recherche" sheetId="14" state="hidden" r:id="rId7"/>
  </sheets>
  <definedNames>
    <definedName name="_xlnm._FilterDatabase" localSheetId="3" hidden="1">'A améliorer'!$C$2:$D$290</definedName>
    <definedName name="_xlnm._FilterDatabase" localSheetId="4" hidden="1">'Maintenir et renforcer'!$C$2:$D$290</definedName>
    <definedName name="_xlnm._FilterDatabase" localSheetId="0" hidden="1">Questionnaire!$E$4:$E$291</definedName>
    <definedName name="_xlnm._FilterDatabase" localSheetId="1" hidden="1">'Synthèse Résultats'!#REF!</definedName>
    <definedName name="_xlnm._FilterDatabase" localSheetId="2" hidden="1">Urgent!$C$2:$D$290</definedName>
    <definedName name="L_1.1" localSheetId="6">Recherche!$D$2:$D$6</definedName>
    <definedName name="L_1.1">Référentiel!$D$2:$D$6</definedName>
    <definedName name="L_1.2" localSheetId="6">Recherche!$D$7:$D$11</definedName>
    <definedName name="L_1.2">Référentiel!$D$7:$D$11</definedName>
    <definedName name="L_11" localSheetId="6">Recherche!$D$2:$D$6</definedName>
    <definedName name="L_11">Référentiel!$D$2:$D$6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0" i="13" l="1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B261" i="13" s="1"/>
  <c r="D260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B229" i="13" s="1"/>
  <c r="D228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B197" i="13" s="1"/>
  <c r="D196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B165" i="13" s="1"/>
  <c r="D164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B133" i="13" s="1"/>
  <c r="D132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B101" i="13" s="1"/>
  <c r="D100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B69" i="13" s="1"/>
  <c r="D68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B37" i="13" s="1"/>
  <c r="D36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5" i="13" s="1"/>
  <c r="D4" i="13"/>
  <c r="C4" i="13"/>
  <c r="C3" i="13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B261" i="12" s="1"/>
  <c r="D260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B229" i="12" s="1"/>
  <c r="D228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B197" i="12" s="1"/>
  <c r="D196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B165" i="12" s="1"/>
  <c r="D164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B133" i="12" s="1"/>
  <c r="D132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B101" i="12" s="1"/>
  <c r="D100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B69" i="12" s="1"/>
  <c r="D68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B37" i="12" s="1"/>
  <c r="D36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B5" i="12" s="1"/>
  <c r="D4" i="12"/>
  <c r="C4" i="12"/>
  <c r="C3" i="12"/>
  <c r="C3" i="11"/>
  <c r="D4" i="11"/>
  <c r="C4" i="11"/>
  <c r="C5" i="11"/>
  <c r="B5" i="11" s="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D36" i="11"/>
  <c r="C36" i="11"/>
  <c r="C37" i="11"/>
  <c r="B37" i="11" s="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D68" i="11"/>
  <c r="C68" i="11"/>
  <c r="C69" i="11"/>
  <c r="B69" i="11" s="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D100" i="11"/>
  <c r="C100" i="11"/>
  <c r="C101" i="11"/>
  <c r="B101" i="11" s="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D132" i="11"/>
  <c r="C132" i="11"/>
  <c r="C133" i="11"/>
  <c r="B133" i="11" s="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D164" i="11"/>
  <c r="C164" i="11"/>
  <c r="C165" i="11"/>
  <c r="B165" i="11" s="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D196" i="11"/>
  <c r="C196" i="11"/>
  <c r="C197" i="11"/>
  <c r="B197" i="11" s="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D228" i="11"/>
  <c r="C228" i="11"/>
  <c r="C229" i="11"/>
  <c r="B229" i="11" s="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D260" i="11"/>
  <c r="C260" i="11"/>
  <c r="C261" i="11"/>
  <c r="B261" i="11" s="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A21" i="6"/>
  <c r="B21" i="6" s="1" a="1"/>
  <c r="B21" i="6" s="1"/>
  <c r="A19" i="6"/>
  <c r="B19" i="6" s="1" a="1"/>
  <c r="B19" i="6" s="1"/>
  <c r="A17" i="6"/>
  <c r="B17" i="6" s="1" a="1"/>
  <c r="B17" i="6" s="1"/>
  <c r="A15" i="6"/>
  <c r="B15" i="6" s="1" a="1"/>
  <c r="B15" i="6" s="1"/>
  <c r="A13" i="6"/>
  <c r="B13" i="6" s="1" a="1"/>
  <c r="B13" i="6" s="1"/>
  <c r="A11" i="6"/>
  <c r="B11" i="6" s="1" a="1"/>
  <c r="B11" i="6" s="1"/>
  <c r="A9" i="6"/>
  <c r="B9" i="6" s="1" a="1"/>
  <c r="B9" i="6" s="1"/>
  <c r="A7" i="6"/>
  <c r="B7" i="6" s="1" a="1"/>
  <c r="B7" i="6" s="1"/>
  <c r="A5" i="6"/>
  <c r="B5" i="6" s="1" a="1"/>
  <c r="B5" i="6" s="1"/>
  <c r="D291" i="5"/>
  <c r="D290" i="12" s="1"/>
  <c r="D290" i="5"/>
  <c r="D289" i="13" s="1"/>
  <c r="D289" i="5"/>
  <c r="D288" i="12" s="1"/>
  <c r="D288" i="5"/>
  <c r="D287" i="5"/>
  <c r="D286" i="11" s="1"/>
  <c r="D285" i="5"/>
  <c r="D284" i="11" s="1"/>
  <c r="D284" i="5"/>
  <c r="D283" i="5"/>
  <c r="D282" i="12" s="1"/>
  <c r="D282" i="5"/>
  <c r="D281" i="13" s="1"/>
  <c r="D281" i="5"/>
  <c r="D280" i="13" s="1"/>
  <c r="D279" i="5"/>
  <c r="D278" i="13" s="1"/>
  <c r="D278" i="5"/>
  <c r="D277" i="5"/>
  <c r="D276" i="13" s="1"/>
  <c r="D276" i="5"/>
  <c r="D275" i="13" s="1"/>
  <c r="D275" i="5"/>
  <c r="D274" i="13" s="1"/>
  <c r="D273" i="5"/>
  <c r="D272" i="5"/>
  <c r="D271" i="5"/>
  <c r="D270" i="12" s="1"/>
  <c r="D270" i="5"/>
  <c r="D269" i="13" s="1"/>
  <c r="D269" i="5"/>
  <c r="D268" i="13" s="1"/>
  <c r="D267" i="5"/>
  <c r="D266" i="12" s="1"/>
  <c r="D266" i="5"/>
  <c r="D265" i="12" s="1"/>
  <c r="D265" i="5"/>
  <c r="D264" i="5"/>
  <c r="D263" i="11" s="1"/>
  <c r="D263" i="5"/>
  <c r="D262" i="13" s="1"/>
  <c r="D259" i="5"/>
  <c r="D258" i="13" s="1"/>
  <c r="D258" i="5"/>
  <c r="D257" i="13" s="1"/>
  <c r="D257" i="5"/>
  <c r="D256" i="12" s="1"/>
  <c r="D256" i="5"/>
  <c r="D255" i="5"/>
  <c r="D254" i="11" s="1"/>
  <c r="D253" i="5"/>
  <c r="D252" i="11" s="1"/>
  <c r="D252" i="5"/>
  <c r="D251" i="12" s="1"/>
  <c r="D251" i="5"/>
  <c r="D250" i="12" s="1"/>
  <c r="D250" i="5"/>
  <c r="D249" i="5"/>
  <c r="D248" i="11" s="1"/>
  <c r="D247" i="5"/>
  <c r="D246" i="11" s="1"/>
  <c r="D246" i="5"/>
  <c r="D245" i="13" s="1"/>
  <c r="D245" i="5"/>
  <c r="D244" i="13" s="1"/>
  <c r="D244" i="5"/>
  <c r="D243" i="5"/>
  <c r="D242" i="11" s="1"/>
  <c r="D241" i="5"/>
  <c r="D240" i="12" s="1"/>
  <c r="D240" i="5"/>
  <c r="D239" i="11" s="1"/>
  <c r="D239" i="5"/>
  <c r="D238" i="12" s="1"/>
  <c r="D238" i="5"/>
  <c r="D237" i="12" s="1"/>
  <c r="D237" i="5"/>
  <c r="D236" i="12" s="1"/>
  <c r="D235" i="5"/>
  <c r="D234" i="12" s="1"/>
  <c r="D234" i="5"/>
  <c r="D233" i="11" s="1"/>
  <c r="D233" i="5"/>
  <c r="D232" i="5"/>
  <c r="D231" i="13" s="1"/>
  <c r="D231" i="5"/>
  <c r="D230" i="13" s="1"/>
  <c r="D227" i="5"/>
  <c r="D226" i="11" s="1"/>
  <c r="D226" i="5"/>
  <c r="D225" i="5"/>
  <c r="D224" i="11" s="1"/>
  <c r="D224" i="5"/>
  <c r="D223" i="11" s="1"/>
  <c r="D223" i="5"/>
  <c r="D222" i="11" s="1"/>
  <c r="D221" i="5"/>
  <c r="D220" i="12" s="1"/>
  <c r="D220" i="5"/>
  <c r="D219" i="5"/>
  <c r="D218" i="12" s="1"/>
  <c r="D218" i="5"/>
  <c r="D217" i="11" s="1"/>
  <c r="D217" i="5"/>
  <c r="D216" i="12" s="1"/>
  <c r="D215" i="5"/>
  <c r="D214" i="13" s="1"/>
  <c r="D214" i="5"/>
  <c r="D213" i="5"/>
  <c r="D212" i="13" s="1"/>
  <c r="D212" i="5"/>
  <c r="D211" i="11" s="1"/>
  <c r="D211" i="5"/>
  <c r="D210" i="11" s="1"/>
  <c r="D209" i="5"/>
  <c r="D208" i="12" s="1"/>
  <c r="D208" i="5"/>
  <c r="D207" i="13" s="1"/>
  <c r="D207" i="5"/>
  <c r="D206" i="5"/>
  <c r="D205" i="13" s="1"/>
  <c r="D205" i="5"/>
  <c r="D204" i="11" s="1"/>
  <c r="D203" i="5"/>
  <c r="D202" i="12" s="1"/>
  <c r="D202" i="5"/>
  <c r="D201" i="5"/>
  <c r="D200" i="12" s="1"/>
  <c r="D200" i="5"/>
  <c r="D199" i="11" s="1"/>
  <c r="D199" i="5"/>
  <c r="D198" i="11" s="1"/>
  <c r="D195" i="5"/>
  <c r="D194" i="13" s="1"/>
  <c r="D194" i="5"/>
  <c r="D193" i="12" s="1"/>
  <c r="D193" i="5"/>
  <c r="D192" i="5"/>
  <c r="D191" i="12" s="1"/>
  <c r="D191" i="5"/>
  <c r="D190" i="12" s="1"/>
  <c r="D189" i="5"/>
  <c r="D188" i="13" s="1"/>
  <c r="D188" i="5"/>
  <c r="D187" i="12" s="1"/>
  <c r="D187" i="5"/>
  <c r="D186" i="12" s="1"/>
  <c r="D186" i="5"/>
  <c r="D185" i="11" s="1"/>
  <c r="D185" i="5"/>
  <c r="D183" i="5"/>
  <c r="D182" i="13" s="1"/>
  <c r="D182" i="5"/>
  <c r="D181" i="13" s="1"/>
  <c r="D181" i="5"/>
  <c r="D180" i="12" s="1"/>
  <c r="D180" i="5"/>
  <c r="D179" i="11" s="1"/>
  <c r="D179" i="5"/>
  <c r="D177" i="5"/>
  <c r="D176" i="13" s="1"/>
  <c r="D176" i="5"/>
  <c r="D175" i="11" s="1"/>
  <c r="D175" i="5"/>
  <c r="D174" i="13" s="1"/>
  <c r="D174" i="5"/>
  <c r="D173" i="12" s="1"/>
  <c r="D173" i="5"/>
  <c r="D171" i="5"/>
  <c r="D170" i="12" s="1"/>
  <c r="D170" i="5"/>
  <c r="D169" i="11" s="1"/>
  <c r="D169" i="5"/>
  <c r="D168" i="13" s="1"/>
  <c r="D168" i="5"/>
  <c r="D167" i="13" s="1"/>
  <c r="D167" i="5"/>
  <c r="D163" i="5"/>
  <c r="D162" i="13" s="1"/>
  <c r="D162" i="5"/>
  <c r="D161" i="12" s="1"/>
  <c r="D161" i="5"/>
  <c r="D160" i="12" s="1"/>
  <c r="D160" i="5"/>
  <c r="D159" i="13" s="1"/>
  <c r="D159" i="5"/>
  <c r="D158" i="13" s="1"/>
  <c r="D157" i="5"/>
  <c r="D156" i="13" s="1"/>
  <c r="D156" i="5"/>
  <c r="D155" i="11" s="1"/>
  <c r="D155" i="5"/>
  <c r="D154" i="12" s="1"/>
  <c r="D154" i="5"/>
  <c r="D153" i="12" s="1"/>
  <c r="D153" i="5"/>
  <c r="D152" i="13" s="1"/>
  <c r="D151" i="5"/>
  <c r="D150" i="13" s="1"/>
  <c r="D150" i="5"/>
  <c r="D149" i="13" s="1"/>
  <c r="D149" i="5"/>
  <c r="D148" i="11" s="1"/>
  <c r="D148" i="5"/>
  <c r="D147" i="11" s="1"/>
  <c r="D147" i="5"/>
  <c r="D146" i="12" s="1"/>
  <c r="D145" i="5"/>
  <c r="D144" i="13" s="1"/>
  <c r="D144" i="5"/>
  <c r="D143" i="12" s="1"/>
  <c r="D143" i="5"/>
  <c r="D142" i="13" s="1"/>
  <c r="D142" i="5"/>
  <c r="D141" i="11" s="1"/>
  <c r="D141" i="5"/>
  <c r="D140" i="13" s="1"/>
  <c r="D139" i="5"/>
  <c r="D138" i="13" s="1"/>
  <c r="D138" i="5"/>
  <c r="D137" i="13" s="1"/>
  <c r="D137" i="5"/>
  <c r="D136" i="11" s="1"/>
  <c r="D136" i="5"/>
  <c r="D135" i="13" s="1"/>
  <c r="D135" i="5"/>
  <c r="D134" i="11" s="1"/>
  <c r="D131" i="5"/>
  <c r="D130" i="13" s="1"/>
  <c r="D130" i="5"/>
  <c r="D129" i="13" s="1"/>
  <c r="D129" i="5"/>
  <c r="D128" i="11" s="1"/>
  <c r="D128" i="5"/>
  <c r="D127" i="12" s="1"/>
  <c r="D127" i="5"/>
  <c r="D126" i="13" s="1"/>
  <c r="D125" i="5"/>
  <c r="D124" i="11" s="1"/>
  <c r="D124" i="5"/>
  <c r="D123" i="13" s="1"/>
  <c r="D123" i="5"/>
  <c r="D122" i="12" s="1"/>
  <c r="D122" i="5"/>
  <c r="D121" i="11" s="1"/>
  <c r="D121" i="5"/>
  <c r="D120" i="11" s="1"/>
  <c r="D119" i="5"/>
  <c r="D118" i="13" s="1"/>
  <c r="D118" i="5"/>
  <c r="D117" i="11" s="1"/>
  <c r="D117" i="5"/>
  <c r="D116" i="11" s="1"/>
  <c r="D116" i="5"/>
  <c r="D115" i="12" s="1"/>
  <c r="D115" i="5"/>
  <c r="D114" i="11" s="1"/>
  <c r="D113" i="5"/>
  <c r="D112" i="11" s="1"/>
  <c r="D112" i="5"/>
  <c r="D111" i="13" s="1"/>
  <c r="D111" i="5"/>
  <c r="D110" i="13" s="1"/>
  <c r="D110" i="5"/>
  <c r="D109" i="13" s="1"/>
  <c r="D109" i="5"/>
  <c r="D108" i="13" s="1"/>
  <c r="D107" i="5"/>
  <c r="D106" i="12" s="1"/>
  <c r="D106" i="5"/>
  <c r="D105" i="13" s="1"/>
  <c r="D105" i="5"/>
  <c r="D104" i="11" s="1"/>
  <c r="D104" i="5"/>
  <c r="D103" i="12" s="1"/>
  <c r="D103" i="5"/>
  <c r="D102" i="12" s="1"/>
  <c r="D99" i="5"/>
  <c r="D98" i="11" s="1"/>
  <c r="D98" i="5"/>
  <c r="D97" i="12" s="1"/>
  <c r="D97" i="5"/>
  <c r="D96" i="12" s="1"/>
  <c r="D96" i="5"/>
  <c r="D95" i="12" s="1"/>
  <c r="D95" i="5"/>
  <c r="D94" i="12" s="1"/>
  <c r="D93" i="5"/>
  <c r="D92" i="11" s="1"/>
  <c r="D92" i="5"/>
  <c r="D91" i="13" s="1"/>
  <c r="D91" i="5"/>
  <c r="D90" i="12" s="1"/>
  <c r="D90" i="5"/>
  <c r="D89" i="11" s="1"/>
  <c r="D89" i="5"/>
  <c r="D88" i="12" s="1"/>
  <c r="D87" i="5"/>
  <c r="D86" i="11" s="1"/>
  <c r="D86" i="5"/>
  <c r="D85" i="11" s="1"/>
  <c r="D85" i="5"/>
  <c r="D84" i="13" s="1"/>
  <c r="D84" i="5"/>
  <c r="D83" i="13" s="1"/>
  <c r="D83" i="5"/>
  <c r="D82" i="11" s="1"/>
  <c r="D81" i="5"/>
  <c r="D80" i="12" s="1"/>
  <c r="D80" i="5"/>
  <c r="D79" i="12" s="1"/>
  <c r="D79" i="5"/>
  <c r="D78" i="11" s="1"/>
  <c r="D78" i="5"/>
  <c r="D77" i="12" s="1"/>
  <c r="D77" i="5"/>
  <c r="D76" i="13" s="1"/>
  <c r="D75" i="5"/>
  <c r="D74" i="13" s="1"/>
  <c r="D74" i="5"/>
  <c r="D73" i="13" s="1"/>
  <c r="D73" i="5"/>
  <c r="D72" i="13" s="1"/>
  <c r="D72" i="5"/>
  <c r="D71" i="11" s="1"/>
  <c r="D71" i="5"/>
  <c r="D70" i="13" s="1"/>
  <c r="D67" i="5"/>
  <c r="D66" i="11" s="1"/>
  <c r="D66" i="5"/>
  <c r="D65" i="13" s="1"/>
  <c r="D65" i="5"/>
  <c r="D64" i="13" s="1"/>
  <c r="D64" i="5"/>
  <c r="D63" i="12" s="1"/>
  <c r="D63" i="5"/>
  <c r="D62" i="12" s="1"/>
  <c r="D61" i="5"/>
  <c r="D60" i="13" s="1"/>
  <c r="D60" i="5"/>
  <c r="D59" i="11" s="1"/>
  <c r="D59" i="5"/>
  <c r="D58" i="12" s="1"/>
  <c r="D58" i="5"/>
  <c r="D57" i="12" s="1"/>
  <c r="D57" i="5"/>
  <c r="D56" i="11" s="1"/>
  <c r="D55" i="5"/>
  <c r="D54" i="12" s="1"/>
  <c r="D54" i="5"/>
  <c r="D53" i="11" s="1"/>
  <c r="D53" i="5"/>
  <c r="D52" i="12" s="1"/>
  <c r="D52" i="5"/>
  <c r="D51" i="13" s="1"/>
  <c r="D51" i="5"/>
  <c r="D50" i="13" s="1"/>
  <c r="D49" i="5"/>
  <c r="D48" i="12" s="1"/>
  <c r="D48" i="5"/>
  <c r="D47" i="12" s="1"/>
  <c r="D47" i="5"/>
  <c r="D46" i="11" s="1"/>
  <c r="D46" i="5"/>
  <c r="D45" i="13" s="1"/>
  <c r="D45" i="5"/>
  <c r="D44" i="13" s="1"/>
  <c r="D43" i="5"/>
  <c r="D42" i="13" s="1"/>
  <c r="D42" i="5"/>
  <c r="D41" i="11" s="1"/>
  <c r="D41" i="5"/>
  <c r="D40" i="12" s="1"/>
  <c r="D40" i="5"/>
  <c r="D39" i="12" s="1"/>
  <c r="D39" i="5"/>
  <c r="D38" i="13" s="1"/>
  <c r="D35" i="5"/>
  <c r="D34" i="12" s="1"/>
  <c r="D34" i="5"/>
  <c r="D33" i="13" s="1"/>
  <c r="D33" i="5"/>
  <c r="D32" i="13" s="1"/>
  <c r="D32" i="5"/>
  <c r="D31" i="13" s="1"/>
  <c r="D31" i="5"/>
  <c r="D30" i="11" s="1"/>
  <c r="D29" i="5"/>
  <c r="D28" i="12" s="1"/>
  <c r="D28" i="5"/>
  <c r="D27" i="11" s="1"/>
  <c r="D27" i="5"/>
  <c r="D26" i="11" s="1"/>
  <c r="D26" i="5"/>
  <c r="D25" i="11" s="1"/>
  <c r="D25" i="5"/>
  <c r="D24" i="13" s="1"/>
  <c r="D23" i="5"/>
  <c r="D22" i="12" s="1"/>
  <c r="D22" i="5"/>
  <c r="D21" i="11" s="1"/>
  <c r="D21" i="5"/>
  <c r="D20" i="12" s="1"/>
  <c r="D20" i="5"/>
  <c r="D19" i="13" s="1"/>
  <c r="D19" i="5"/>
  <c r="D18" i="13" s="1"/>
  <c r="D7" i="5"/>
  <c r="D6" i="13" s="1"/>
  <c r="D8" i="5"/>
  <c r="D7" i="13" s="1"/>
  <c r="D9" i="5"/>
  <c r="D8" i="12" s="1"/>
  <c r="D10" i="5"/>
  <c r="D9" i="13" s="1"/>
  <c r="D11" i="5"/>
  <c r="D10" i="11" s="1"/>
  <c r="D13" i="5"/>
  <c r="D12" i="13" s="1"/>
  <c r="D14" i="5"/>
  <c r="D13" i="12" s="1"/>
  <c r="D15" i="5"/>
  <c r="D14" i="11" s="1"/>
  <c r="D16" i="5"/>
  <c r="D15" i="12" s="1"/>
  <c r="D17" i="5"/>
  <c r="D16" i="1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" i="1"/>
  <c r="D282" i="13" l="1"/>
  <c r="D234" i="11"/>
  <c r="D34" i="11"/>
  <c r="D51" i="12"/>
  <c r="D78" i="13"/>
  <c r="D144" i="11"/>
  <c r="D265" i="11"/>
  <c r="D251" i="13"/>
  <c r="D186" i="11"/>
  <c r="D281" i="12"/>
  <c r="D64" i="11"/>
  <c r="D48" i="13"/>
  <c r="D251" i="11"/>
  <c r="D174" i="11"/>
  <c r="D204" i="12"/>
  <c r="D214" i="12"/>
  <c r="D263" i="13"/>
  <c r="D281" i="11"/>
  <c r="D205" i="11"/>
  <c r="D64" i="12"/>
  <c r="D187" i="11"/>
  <c r="D280" i="12"/>
  <c r="D173" i="13"/>
  <c r="D218" i="13"/>
  <c r="D233" i="13"/>
  <c r="D205" i="12"/>
  <c r="D280" i="11"/>
  <c r="D174" i="12"/>
  <c r="D185" i="12"/>
  <c r="D80" i="13"/>
  <c r="D268" i="11"/>
  <c r="D126" i="11"/>
  <c r="D50" i="12"/>
  <c r="D202" i="13"/>
  <c r="D234" i="13"/>
  <c r="D59" i="13"/>
  <c r="D236" i="11"/>
  <c r="D62" i="11"/>
  <c r="D51" i="11"/>
  <c r="D245" i="11"/>
  <c r="D214" i="11"/>
  <c r="D167" i="12"/>
  <c r="D188" i="12"/>
  <c r="D185" i="13"/>
  <c r="D153" i="13"/>
  <c r="D217" i="13"/>
  <c r="D236" i="13"/>
  <c r="D288" i="13"/>
  <c r="D138" i="11"/>
  <c r="D244" i="11"/>
  <c r="D159" i="11"/>
  <c r="D91" i="12"/>
  <c r="D112" i="12"/>
  <c r="D263" i="12"/>
  <c r="D186" i="13"/>
  <c r="D282" i="11"/>
  <c r="D92" i="12"/>
  <c r="D212" i="12"/>
  <c r="D233" i="12"/>
  <c r="D244" i="12"/>
  <c r="D187" i="13"/>
  <c r="D250" i="13"/>
  <c r="D73" i="11"/>
  <c r="D168" i="12"/>
  <c r="D245" i="12"/>
  <c r="D169" i="12"/>
  <c r="D169" i="13"/>
  <c r="D246" i="13"/>
  <c r="D250" i="11"/>
  <c r="D212" i="11"/>
  <c r="D202" i="11"/>
  <c r="D123" i="11"/>
  <c r="D91" i="11"/>
  <c r="D80" i="11"/>
  <c r="D50" i="11"/>
  <c r="D217" i="12"/>
  <c r="D246" i="12"/>
  <c r="D276" i="12"/>
  <c r="D199" i="13"/>
  <c r="D167" i="11"/>
  <c r="D230" i="11"/>
  <c r="D220" i="11"/>
  <c r="D182" i="11"/>
  <c r="D173" i="11"/>
  <c r="D111" i="11"/>
  <c r="D66" i="12"/>
  <c r="D181" i="12"/>
  <c r="D199" i="12"/>
  <c r="D170" i="13"/>
  <c r="D265" i="13"/>
  <c r="D102" i="13"/>
  <c r="D276" i="11"/>
  <c r="D258" i="11"/>
  <c r="D76" i="12"/>
  <c r="D95" i="13"/>
  <c r="D128" i="13"/>
  <c r="D200" i="13"/>
  <c r="D220" i="13"/>
  <c r="D248" i="13"/>
  <c r="D224" i="13"/>
  <c r="D137" i="12"/>
  <c r="D198" i="12"/>
  <c r="D266" i="11"/>
  <c r="D181" i="11"/>
  <c r="D120" i="12"/>
  <c r="D182" i="12"/>
  <c r="D248" i="12"/>
  <c r="D268" i="12"/>
  <c r="D278" i="12"/>
  <c r="D34" i="13"/>
  <c r="D85" i="13"/>
  <c r="D239" i="13"/>
  <c r="D286" i="13"/>
  <c r="D270" i="13"/>
  <c r="D74" i="12"/>
  <c r="D254" i="13"/>
  <c r="D275" i="11"/>
  <c r="D218" i="11"/>
  <c r="D188" i="11"/>
  <c r="D150" i="11"/>
  <c r="D109" i="11"/>
  <c r="D47" i="11"/>
  <c r="D142" i="12"/>
  <c r="D230" i="12"/>
  <c r="D66" i="13"/>
  <c r="D147" i="12"/>
  <c r="D130" i="11"/>
  <c r="D12" i="11"/>
  <c r="D286" i="12"/>
  <c r="D115" i="13"/>
  <c r="D180" i="11"/>
  <c r="D85" i="12"/>
  <c r="D254" i="12"/>
  <c r="D137" i="11"/>
  <c r="D10" i="13"/>
  <c r="D180" i="13"/>
  <c r="D288" i="11"/>
  <c r="D193" i="11"/>
  <c r="D170" i="11"/>
  <c r="D60" i="12"/>
  <c r="D256" i="11"/>
  <c r="D200" i="11"/>
  <c r="D162" i="11"/>
  <c r="D116" i="12"/>
  <c r="D152" i="12"/>
  <c r="D179" i="12"/>
  <c r="D194" i="12"/>
  <c r="D226" i="12"/>
  <c r="D257" i="12"/>
  <c r="D274" i="12"/>
  <c r="D147" i="13"/>
  <c r="D204" i="13"/>
  <c r="D129" i="12"/>
  <c r="D102" i="11"/>
  <c r="D161" i="13"/>
  <c r="D240" i="13"/>
  <c r="D193" i="13"/>
  <c r="D129" i="11"/>
  <c r="D176" i="12"/>
  <c r="D239" i="12"/>
  <c r="D274" i="11"/>
  <c r="D194" i="11"/>
  <c r="D59" i="12"/>
  <c r="D242" i="13"/>
  <c r="D257" i="11"/>
  <c r="D211" i="13"/>
  <c r="D290" i="13"/>
  <c r="D240" i="11"/>
  <c r="D208" i="11"/>
  <c r="D152" i="11"/>
  <c r="D89" i="12"/>
  <c r="D98" i="12"/>
  <c r="D135" i="12"/>
  <c r="D144" i="12"/>
  <c r="D242" i="12"/>
  <c r="D46" i="13"/>
  <c r="D54" i="13"/>
  <c r="D63" i="13"/>
  <c r="D284" i="13"/>
  <c r="D238" i="11"/>
  <c r="D179" i="13"/>
  <c r="D226" i="13"/>
  <c r="D224" i="12"/>
  <c r="D104" i="12"/>
  <c r="D62" i="13"/>
  <c r="D41" i="12"/>
  <c r="D278" i="11"/>
  <c r="D270" i="11"/>
  <c r="D176" i="11"/>
  <c r="D161" i="11"/>
  <c r="D76" i="11"/>
  <c r="D48" i="11"/>
  <c r="D128" i="12"/>
  <c r="D211" i="12"/>
  <c r="D258" i="12"/>
  <c r="D275" i="12"/>
  <c r="D92" i="13"/>
  <c r="D120" i="13"/>
  <c r="D148" i="13"/>
  <c r="D238" i="13"/>
  <c r="D84" i="12"/>
  <c r="D130" i="12"/>
  <c r="D86" i="13"/>
  <c r="D208" i="13"/>
  <c r="D256" i="13"/>
  <c r="D22" i="11"/>
  <c r="D149" i="12"/>
  <c r="D116" i="13"/>
  <c r="D134" i="13"/>
  <c r="D98" i="13"/>
  <c r="D78" i="12"/>
  <c r="D88" i="11"/>
  <c r="D190" i="11"/>
  <c r="D168" i="11"/>
  <c r="D95" i="11"/>
  <c r="D47" i="13"/>
  <c r="D112" i="13"/>
  <c r="D190" i="13"/>
  <c r="D287" i="13"/>
  <c r="D287" i="12"/>
  <c r="D287" i="11"/>
  <c r="D283" i="13"/>
  <c r="D283" i="12"/>
  <c r="D283" i="11"/>
  <c r="D277" i="13"/>
  <c r="D277" i="12"/>
  <c r="D277" i="11"/>
  <c r="D271" i="13"/>
  <c r="D271" i="12"/>
  <c r="D271" i="11"/>
  <c r="D272" i="11"/>
  <c r="D272" i="12"/>
  <c r="D264" i="13"/>
  <c r="D264" i="12"/>
  <c r="D264" i="11"/>
  <c r="D255" i="13"/>
  <c r="D255" i="12"/>
  <c r="D255" i="11"/>
  <c r="D249" i="13"/>
  <c r="D249" i="12"/>
  <c r="D249" i="11"/>
  <c r="D243" i="13"/>
  <c r="D243" i="12"/>
  <c r="D243" i="11"/>
  <c r="D232" i="13"/>
  <c r="D232" i="12"/>
  <c r="D232" i="11"/>
  <c r="D225" i="13"/>
  <c r="D225" i="12"/>
  <c r="D225" i="11"/>
  <c r="D219" i="13"/>
  <c r="D219" i="12"/>
  <c r="D219" i="11"/>
  <c r="D213" i="13"/>
  <c r="D213" i="12"/>
  <c r="D213" i="11"/>
  <c r="D206" i="13"/>
  <c r="D206" i="12"/>
  <c r="D206" i="11"/>
  <c r="D201" i="13"/>
  <c r="D201" i="12"/>
  <c r="D201" i="11"/>
  <c r="D192" i="13"/>
  <c r="D192" i="12"/>
  <c r="D192" i="11"/>
  <c r="D184" i="13"/>
  <c r="D184" i="12"/>
  <c r="D184" i="11"/>
  <c r="D178" i="12"/>
  <c r="D178" i="13"/>
  <c r="D172" i="13"/>
  <c r="D172" i="12"/>
  <c r="D172" i="11"/>
  <c r="D166" i="13"/>
  <c r="D166" i="12"/>
  <c r="D166" i="11"/>
  <c r="D27" i="12"/>
  <c r="D10" i="12"/>
  <c r="D19" i="12"/>
  <c r="D15" i="11"/>
  <c r="D16" i="13"/>
  <c r="D27" i="13"/>
  <c r="D22" i="13"/>
  <c r="D18" i="12"/>
  <c r="D158" i="11"/>
  <c r="D141" i="13"/>
  <c r="D155" i="13"/>
  <c r="D140" i="11"/>
  <c r="D153" i="11"/>
  <c r="D146" i="11"/>
  <c r="D141" i="12"/>
  <c r="D148" i="12"/>
  <c r="D155" i="12"/>
  <c r="D160" i="13"/>
  <c r="D143" i="11"/>
  <c r="D140" i="12"/>
  <c r="D160" i="11"/>
  <c r="D134" i="12"/>
  <c r="D146" i="13"/>
  <c r="D150" i="12"/>
  <c r="D158" i="12"/>
  <c r="D149" i="11"/>
  <c r="D142" i="11"/>
  <c r="D143" i="13"/>
  <c r="D108" i="12"/>
  <c r="D106" i="13"/>
  <c r="D124" i="12"/>
  <c r="D122" i="13"/>
  <c r="D106" i="11"/>
  <c r="D109" i="12"/>
  <c r="D117" i="12"/>
  <c r="D118" i="12"/>
  <c r="D126" i="12"/>
  <c r="D124" i="13"/>
  <c r="D127" i="11"/>
  <c r="D111" i="12"/>
  <c r="D117" i="13"/>
  <c r="D118" i="11"/>
  <c r="D103" i="11"/>
  <c r="D104" i="13"/>
  <c r="D108" i="11"/>
  <c r="D123" i="12"/>
  <c r="D88" i="13"/>
  <c r="D96" i="11"/>
  <c r="D71" i="12"/>
  <c r="D86" i="12"/>
  <c r="D71" i="13"/>
  <c r="D94" i="11"/>
  <c r="D79" i="11"/>
  <c r="D73" i="12"/>
  <c r="D96" i="13"/>
  <c r="D82" i="13"/>
  <c r="D89" i="13"/>
  <c r="D82" i="12"/>
  <c r="D84" i="11"/>
  <c r="D39" i="11"/>
  <c r="D44" i="12"/>
  <c r="D39" i="13"/>
  <c r="D54" i="11"/>
  <c r="D38" i="11"/>
  <c r="D45" i="12"/>
  <c r="D60" i="11"/>
  <c r="D45" i="11"/>
  <c r="D38" i="12"/>
  <c r="D41" i="13"/>
  <c r="D56" i="13"/>
  <c r="D44" i="11"/>
  <c r="D57" i="13"/>
  <c r="D56" i="12"/>
  <c r="D57" i="11"/>
  <c r="D12" i="12"/>
  <c r="D18" i="11"/>
  <c r="D21" i="12"/>
  <c r="D30" i="12"/>
  <c r="D21" i="13"/>
  <c r="D30" i="13"/>
  <c r="D19" i="11"/>
  <c r="D33" i="11"/>
  <c r="D16" i="11"/>
  <c r="D7" i="11"/>
  <c r="D7" i="12"/>
  <c r="D32" i="11"/>
  <c r="D33" i="12"/>
  <c r="D15" i="13"/>
  <c r="D25" i="12"/>
  <c r="D159" i="12"/>
  <c r="D154" i="11"/>
  <c r="D136" i="13"/>
  <c r="D136" i="12"/>
  <c r="D122" i="11"/>
  <c r="D115" i="11"/>
  <c r="D110" i="12"/>
  <c r="D110" i="11"/>
  <c r="D94" i="13"/>
  <c r="D77" i="11"/>
  <c r="D77" i="13"/>
  <c r="D72" i="11"/>
  <c r="D72" i="12"/>
  <c r="D63" i="11"/>
  <c r="D53" i="12"/>
  <c r="D53" i="13"/>
  <c r="D28" i="11"/>
  <c r="D28" i="13"/>
  <c r="D9" i="12"/>
  <c r="D9" i="11"/>
  <c r="D290" i="11"/>
  <c r="D79" i="13"/>
  <c r="D42" i="11"/>
  <c r="D42" i="12"/>
  <c r="D32" i="12"/>
  <c r="D237" i="13"/>
  <c r="D223" i="12"/>
  <c r="D223" i="13"/>
  <c r="D207" i="12"/>
  <c r="D207" i="11"/>
  <c r="D191" i="13"/>
  <c r="D191" i="11"/>
  <c r="D175" i="13"/>
  <c r="D175" i="12"/>
  <c r="D154" i="13"/>
  <c r="D138" i="12"/>
  <c r="D105" i="12"/>
  <c r="D105" i="11"/>
  <c r="D65" i="12"/>
  <c r="D65" i="11"/>
  <c r="D58" i="11"/>
  <c r="D58" i="13"/>
  <c r="D26" i="12"/>
  <c r="D26" i="13"/>
  <c r="D24" i="12"/>
  <c r="D24" i="11"/>
  <c r="D20" i="11"/>
  <c r="D20" i="13"/>
  <c r="D14" i="13"/>
  <c r="D14" i="12"/>
  <c r="D8" i="11"/>
  <c r="D8" i="13"/>
  <c r="D70" i="11"/>
  <c r="D70" i="12"/>
  <c r="D262" i="11"/>
  <c r="D262" i="12"/>
  <c r="D269" i="11"/>
  <c r="D269" i="12"/>
  <c r="D289" i="11"/>
  <c r="D289" i="12"/>
  <c r="D284" i="12"/>
  <c r="D272" i="13"/>
  <c r="D266" i="13"/>
  <c r="D252" i="12"/>
  <c r="D252" i="13"/>
  <c r="D237" i="11"/>
  <c r="D231" i="12"/>
  <c r="D231" i="11"/>
  <c r="D222" i="13"/>
  <c r="D222" i="12"/>
  <c r="D216" i="11"/>
  <c r="D216" i="13"/>
  <c r="D210" i="13"/>
  <c r="D210" i="12"/>
  <c r="D198" i="13"/>
  <c r="D178" i="11"/>
  <c r="D162" i="12"/>
  <c r="D156" i="11"/>
  <c r="D156" i="12"/>
  <c r="D135" i="11"/>
  <c r="D127" i="13"/>
  <c r="D121" i="12"/>
  <c r="D121" i="13"/>
  <c r="D114" i="12"/>
  <c r="D114" i="13"/>
  <c r="D103" i="13"/>
  <c r="D97" i="13"/>
  <c r="D97" i="11"/>
  <c r="D90" i="13"/>
  <c r="D90" i="11"/>
  <c r="D83" i="11"/>
  <c r="D83" i="12"/>
  <c r="D74" i="11"/>
  <c r="D52" i="13"/>
  <c r="D52" i="11"/>
  <c r="D46" i="12"/>
  <c r="D40" i="11"/>
  <c r="D40" i="13"/>
  <c r="D31" i="11"/>
  <c r="D31" i="12"/>
  <c r="D25" i="13"/>
  <c r="D13" i="13"/>
  <c r="D13" i="11"/>
  <c r="D6" i="11"/>
  <c r="D6" i="12"/>
  <c r="D18" i="5"/>
  <c r="D248" i="5"/>
  <c r="D94" i="5"/>
  <c r="D82" i="5"/>
  <c r="D236" i="5"/>
  <c r="D114" i="5"/>
  <c r="D222" i="5"/>
  <c r="D134" i="5"/>
  <c r="D216" i="5"/>
  <c r="D12" i="5"/>
  <c r="D44" i="5"/>
  <c r="D198" i="5"/>
  <c r="D274" i="5"/>
  <c r="D210" i="5"/>
  <c r="D120" i="5"/>
  <c r="D230" i="5"/>
  <c r="D242" i="5"/>
  <c r="D30" i="5"/>
  <c r="D108" i="5"/>
  <c r="D62" i="5"/>
  <c r="D140" i="5"/>
  <c r="D24" i="5"/>
  <c r="D50" i="5"/>
  <c r="D126" i="5"/>
  <c r="D204" i="5"/>
  <c r="D280" i="5"/>
  <c r="D158" i="5"/>
  <c r="D56" i="5"/>
  <c r="D268" i="5"/>
  <c r="D70" i="5"/>
  <c r="D146" i="5"/>
  <c r="D254" i="5"/>
  <c r="D38" i="5"/>
  <c r="D152" i="5"/>
  <c r="D262" i="5"/>
  <c r="D184" i="5"/>
  <c r="D190" i="5"/>
  <c r="D178" i="5"/>
  <c r="D172" i="5"/>
  <c r="D88" i="5"/>
  <c r="D102" i="5"/>
  <c r="D286" i="5"/>
  <c r="D76" i="5"/>
  <c r="D166" i="5"/>
  <c r="D6" i="5"/>
  <c r="D4" i="5" l="1"/>
  <c r="D36" i="5"/>
  <c r="D285" i="13"/>
  <c r="D285" i="11"/>
  <c r="D285" i="12"/>
  <c r="D279" i="13"/>
  <c r="D279" i="12"/>
  <c r="D279" i="11"/>
  <c r="D273" i="13"/>
  <c r="D273" i="12"/>
  <c r="D273" i="11"/>
  <c r="D267" i="13"/>
  <c r="D267" i="11"/>
  <c r="D267" i="12"/>
  <c r="D261" i="11"/>
  <c r="D261" i="13"/>
  <c r="D261" i="12"/>
  <c r="D253" i="12"/>
  <c r="D253" i="13"/>
  <c r="D253" i="11"/>
  <c r="D247" i="13"/>
  <c r="D247" i="11"/>
  <c r="D247" i="12"/>
  <c r="D241" i="13"/>
  <c r="D241" i="12"/>
  <c r="D241" i="11"/>
  <c r="D235" i="11"/>
  <c r="D235" i="13"/>
  <c r="D235" i="12"/>
  <c r="D229" i="13"/>
  <c r="D229" i="11"/>
  <c r="D229" i="12"/>
  <c r="D221" i="11"/>
  <c r="D221" i="12"/>
  <c r="D221" i="13"/>
  <c r="D215" i="11"/>
  <c r="D215" i="12"/>
  <c r="D215" i="13"/>
  <c r="D209" i="11"/>
  <c r="D209" i="13"/>
  <c r="D209" i="12"/>
  <c r="D203" i="11"/>
  <c r="D203" i="13"/>
  <c r="D203" i="12"/>
  <c r="D197" i="11"/>
  <c r="D197" i="12"/>
  <c r="D197" i="13"/>
  <c r="D189" i="11"/>
  <c r="D189" i="13"/>
  <c r="D189" i="12"/>
  <c r="D183" i="13"/>
  <c r="D183" i="11"/>
  <c r="D183" i="12"/>
  <c r="D177" i="13"/>
  <c r="D177" i="12"/>
  <c r="D177" i="11"/>
  <c r="D171" i="13"/>
  <c r="D171" i="12"/>
  <c r="D171" i="11"/>
  <c r="D165" i="13"/>
  <c r="D165" i="11"/>
  <c r="D165" i="12"/>
  <c r="D157" i="13"/>
  <c r="D157" i="12"/>
  <c r="D157" i="11"/>
  <c r="D151" i="11"/>
  <c r="D151" i="13"/>
  <c r="D151" i="12"/>
  <c r="D145" i="11"/>
  <c r="D145" i="13"/>
  <c r="D145" i="12"/>
  <c r="D139" i="13"/>
  <c r="D139" i="12"/>
  <c r="D139" i="11"/>
  <c r="D133" i="12"/>
  <c r="D133" i="11"/>
  <c r="D133" i="13"/>
  <c r="D125" i="11"/>
  <c r="D125" i="12"/>
  <c r="D125" i="13"/>
  <c r="D119" i="13"/>
  <c r="D119" i="11"/>
  <c r="D119" i="12"/>
  <c r="D113" i="11"/>
  <c r="D113" i="13"/>
  <c r="D113" i="12"/>
  <c r="D107" i="12"/>
  <c r="D107" i="11"/>
  <c r="D107" i="13"/>
  <c r="D101" i="13"/>
  <c r="D101" i="12"/>
  <c r="D101" i="11"/>
  <c r="D93" i="13"/>
  <c r="D93" i="11"/>
  <c r="D93" i="12"/>
  <c r="D87" i="12"/>
  <c r="D87" i="11"/>
  <c r="D87" i="13"/>
  <c r="D81" i="13"/>
  <c r="D81" i="12"/>
  <c r="D81" i="11"/>
  <c r="D75" i="13"/>
  <c r="D75" i="12"/>
  <c r="D75" i="11"/>
  <c r="D69" i="13"/>
  <c r="D69" i="12"/>
  <c r="D69" i="11"/>
  <c r="D61" i="13"/>
  <c r="D61" i="11"/>
  <c r="D61" i="12"/>
  <c r="D55" i="12"/>
  <c r="D55" i="13"/>
  <c r="D55" i="11"/>
  <c r="D49" i="12"/>
  <c r="D49" i="13"/>
  <c r="D49" i="11"/>
  <c r="D43" i="12"/>
  <c r="D43" i="11"/>
  <c r="D43" i="13"/>
  <c r="D37" i="13"/>
  <c r="D37" i="11"/>
  <c r="D37" i="12"/>
  <c r="D29" i="12"/>
  <c r="D29" i="11"/>
  <c r="D29" i="13"/>
  <c r="D23" i="11"/>
  <c r="D23" i="12"/>
  <c r="D23" i="13"/>
  <c r="D17" i="11"/>
  <c r="D17" i="12"/>
  <c r="D17" i="13"/>
  <c r="D11" i="11"/>
  <c r="D11" i="12"/>
  <c r="D11" i="13"/>
  <c r="D5" i="13"/>
  <c r="D5" i="12"/>
  <c r="D5" i="11"/>
  <c r="D196" i="5"/>
  <c r="D132" i="5"/>
  <c r="D100" i="5"/>
  <c r="D68" i="5"/>
  <c r="D228" i="5"/>
  <c r="D260" i="5"/>
  <c r="D164" i="5"/>
  <c r="D259" i="12" l="1"/>
  <c r="D259" i="13"/>
  <c r="D259" i="11"/>
  <c r="D227" i="12"/>
  <c r="D227" i="11"/>
  <c r="D227" i="13"/>
  <c r="D195" i="13"/>
  <c r="D195" i="12"/>
  <c r="D195" i="11"/>
  <c r="D163" i="11"/>
  <c r="D163" i="12"/>
  <c r="D163" i="13"/>
  <c r="D131" i="12"/>
  <c r="D131" i="13"/>
  <c r="D131" i="11"/>
  <c r="D99" i="11"/>
  <c r="D99" i="13"/>
  <c r="D99" i="12"/>
  <c r="D67" i="11"/>
  <c r="D67" i="13"/>
  <c r="D67" i="12"/>
  <c r="D35" i="11"/>
  <c r="D35" i="13"/>
  <c r="D35" i="12"/>
  <c r="D5" i="6"/>
  <c r="D3" i="13"/>
  <c r="D3" i="12"/>
  <c r="D3" i="11"/>
  <c r="D21" i="6"/>
  <c r="D19" i="6"/>
  <c r="D17" i="6"/>
  <c r="D15" i="6"/>
  <c r="D13" i="6"/>
  <c r="D11" i="6"/>
  <c r="D9" i="6"/>
  <c r="D7" i="6"/>
  <c r="D4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<sst xmlns="http://schemas.openxmlformats.org/spreadsheetml/2006/main" count="1679" uniqueCount="322">
  <si>
    <t>Base TOGAF ACCM</t>
  </si>
  <si>
    <t>EVALUATION MATURITE ARCHITECTURE CAPABILITIES</t>
  </si>
  <si>
    <t>Note</t>
  </si>
  <si>
    <t>Questionnaire</t>
  </si>
  <si>
    <t>Commentaires</t>
  </si>
  <si>
    <t xml:space="preserve">1. </t>
  </si>
  <si>
    <t>Architecture Governance Capability</t>
  </si>
  <si>
    <t>Assurer la cohérence des transformations et limiter les dérives</t>
  </si>
  <si>
    <t>1Q1. Existe-t-il une gouvernance d’architecture clairement définie (comité d’architecture, processus de validation, etc.) ?</t>
  </si>
  <si>
    <t>Aucun comité d’architecture ni processus formel ; décisions au cas par cas.</t>
  </si>
  <si>
    <t>Un comité est envisagé mais pas encore actif ; peu de formalisation.</t>
  </si>
  <si>
    <t>Comité existant avec rôles flous et gouvernance immature.</t>
  </si>
  <si>
    <t>Comité d’architecture bien défini, processus documenté et suivi.</t>
  </si>
  <si>
    <t>Gouvernance totalement intégrée et pilotée de façon stratégique.</t>
  </si>
  <si>
    <t>1Q2. Les principes et standards d’architecture sont-ils documentés et appliqués de façon cohérente ?</t>
  </si>
  <si>
    <t>Aucun principe ni standard défini.</t>
  </si>
  <si>
    <t>Principes en cours de rédaction, non appliqués systématiquement.</t>
  </si>
  <si>
    <t>Principes définis mais appliqués de façon variable.</t>
  </si>
  <si>
    <t>Principes formalisés, communiqués et appliqués régulièrement.</t>
  </si>
  <si>
    <t>Principes intégrés aux processus projets, suivis et améliorés.</t>
  </si>
  <si>
    <t>1Q3. Les dérogations ou exceptions sont-elles formellement gérées et suivies ?</t>
  </si>
  <si>
    <t>Aucune gestion des dérogations.</t>
  </si>
  <si>
    <t>Gestion informelle des dérogations au cas par cas.</t>
  </si>
  <si>
    <t>Processus partiellement défini, dérogations tracées mais analyse incomplète.</t>
  </si>
  <si>
    <t>Processus formalisé, dérogations documentées et analysées.</t>
  </si>
  <si>
    <t>Gestion des dérogations intégrée et optimisée, avec reporting.</t>
  </si>
  <si>
    <t>1Q4. Les décisions d’architecture sont-elles prises de manière transparente et tracées ?</t>
  </si>
  <si>
    <t>Décisions prises de manière ad hoc et non documentées.</t>
  </si>
  <si>
    <t>Certaines décisions sont documentées mais la traçabilité est limitée.</t>
  </si>
  <si>
    <t>Décisions tracées mais manque de communication.</t>
  </si>
  <si>
    <t>Décisions documentées, tracées et communiquées.</t>
  </si>
  <si>
    <t>Décisions tracées et disponibles via outil/référentiel.</t>
  </si>
  <si>
    <t>1Q5. Les parties prenantes (métiers et IT) participent-elles aux décisions d’architecture ?</t>
  </si>
  <si>
    <t>Aucune implication des parties prenantes.</t>
  </si>
  <si>
    <t>Consultation ponctuelle des parties prenantes.</t>
  </si>
  <si>
    <t>Parties prenantes consultées mais peu impliquées.</t>
  </si>
  <si>
    <t>Participation active des parties prenantes aux décisions importantes.</t>
  </si>
  <si>
    <t>Parties prenantes impliquées systématiquement et proactivement.</t>
  </si>
  <si>
    <t xml:space="preserve">2. </t>
  </si>
  <si>
    <t>Architecture Practice Process Method Capability</t>
  </si>
  <si>
    <t>Standardiser les pratiques pour produire des résultats reproductibles et cohérents</t>
  </si>
  <si>
    <t>2Q1. Une méthodologie d’architecture (TOGAF, Zachman ou autre) est-elle adoptée et adaptée au contexte ?</t>
  </si>
  <si>
    <t>Aucune méthodologie formelle d’architecture n’a été identifiée ou utilisée.</t>
  </si>
  <si>
    <t>Une méthodologie est envisagée mais pas encore formalisée ; quelques architectes l’appliquent ponctuellement.</t>
  </si>
  <si>
    <t>Une méthodologie est définie mais son application varie d’un projet à l’autre, sans standardisation.</t>
  </si>
  <si>
    <t>Une méthodologie est adoptée, adaptée au contexte, et utilisée régulièrement sur la plupart des projets.</t>
  </si>
  <si>
    <t>La méthodologie est totalement intégrée, adaptée en continu, et soutenue par des formations et des guides pratiques.</t>
  </si>
  <si>
    <t>2Q2. Les étapes et les livrables du processus d’architecture sont-ils clairement définis ?</t>
  </si>
  <si>
    <t>Aucun processus ni livrable défini. Chaque architecte fait selon ses habitudes.</t>
  </si>
  <si>
    <t>Quelques livrables sont définis mais pas alignés avec un processus structuré.</t>
  </si>
  <si>
    <t>Les étapes et les livrables sont définis mais pas systématiquement appliqués.</t>
  </si>
  <si>
    <t>Les étapes et les livrables sont définis, normalisés et connus des équipes.</t>
  </si>
  <si>
    <t>Les étapes et les livrables sont standardisés, adaptés selon le contexte projet et audités régulièrement.</t>
  </si>
  <si>
    <t>2Q3. Les architectes appliquent-ils systématiquement la méthodologie définie ?</t>
  </si>
  <si>
    <t>La méthodologie est rarement ou jamais appliquée.</t>
  </si>
  <si>
    <t>Application occasionnelle selon les projets ou les préférences individuelles.</t>
  </si>
  <si>
    <t>Application partielle, sans réelle homogénéité entre les projets.</t>
  </si>
  <si>
    <t>Méthodologie appliquée de façon cohérente par la plupart des architectes.</t>
  </si>
  <si>
    <t>Méthodologie appliquée systématiquement, avec contrôle qualité et amélioration continue.</t>
  </si>
  <si>
    <t>2Q4. Les parties prenantes connaissent-elles et comprennent-elles le processus d’architecture ?</t>
  </si>
  <si>
    <t>Les parties prenantes ne sont pas informées de l’existence d’un processus d’architecture.</t>
  </si>
  <si>
    <t>Communication ponctuelle, limitée à quelques projets pilotes.</t>
  </si>
  <si>
    <t>Communication existante mais compréhension inégale parmi les parties prenantes.</t>
  </si>
  <si>
    <t>Parties prenantes informées et impliquées, comprennent les principales étapes du processus.</t>
  </si>
  <si>
    <t>Parties prenantes engagées et collaboratives, capables de contribuer activement au processus.</t>
  </si>
  <si>
    <t>2Q5. Le processus d’architecture est-il revu et amélioré régulièrement ?</t>
  </si>
  <si>
    <t>Aucun processus de revue ou d’amélioration n’est en place.</t>
  </si>
  <si>
    <t>Réflexion en cours pour améliorer le processus mais sans mise en œuvre concrète.</t>
  </si>
  <si>
    <t>Amélioration ponctuelle du processus sur retour d’expérience, mais non systématique.</t>
  </si>
  <si>
    <t>Processus révisé périodiquement à partir des retours d’expérience.</t>
  </si>
  <si>
    <t>Processus d’architecture intégré à un cycle d’amélioration continue, avec indicateurs et mise à jour régulière.</t>
  </si>
  <si>
    <t xml:space="preserve">3. </t>
  </si>
  <si>
    <t>Business &amp; IT Strategy Linkage Capability</t>
  </si>
  <si>
    <t>S’assurer que l’architecture soutient réellement les besoins métiers</t>
  </si>
  <si>
    <t>3Q1. L’architecture est-elle alignée avec la stratégie métier de l’organisation ?</t>
  </si>
  <si>
    <t>Aucun alignement entre l’architecture et la stratégie métier.</t>
  </si>
  <si>
    <t>Alignement en réflexion mais pas encore formalisé.</t>
  </si>
  <si>
    <t>Alignement partiel mais manque de cohérence.</t>
  </si>
  <si>
    <t>Alignement opérationnel avec la stratégie métier.</t>
  </si>
  <si>
    <t>Alignement stratégique parfaitement intégré aux processus d’architecture.</t>
  </si>
  <si>
    <t>3Q2. Les besoins métiers sont-ils systématiquement intégrés dans les décisions d’architecture ?</t>
  </si>
  <si>
    <t>Les besoins métiers ne sont pas pris en compte.</t>
  </si>
  <si>
    <t>Intégration ponctuelle des besoins métiers.</t>
  </si>
  <si>
    <t>Intégration variable selon les projets.</t>
  </si>
  <si>
    <t>Intégration régulière des besoins métiers dans les décisions.</t>
  </si>
  <si>
    <t>Intégration des besoins métiers systématique et priorisée.</t>
  </si>
  <si>
    <t>3Q3. Les projets stratégiques sont-ils priorisés en fonction de leur alignement avec l’architecture cible ?</t>
  </si>
  <si>
    <t>Aucune priorisation stratégique des projets.</t>
  </si>
  <si>
    <t>Priorisation au cas par cas sans vision stratégique.</t>
  </si>
  <si>
    <t>Priorisation existante mais non systématique.</t>
  </si>
  <si>
    <t>Priorisation stratégique des projets en place.</t>
  </si>
  <si>
    <t>Priorisation basée sur la valeur métier et la stratégie.</t>
  </si>
  <si>
    <t>3Q4. Les capacités métier sont-elles cartographiées et utilisées pour orienter les choix d’architecture ?</t>
  </si>
  <si>
    <t>Aucune cartographie des capacités métier.</t>
  </si>
  <si>
    <t>Cartographie embryonnaire ou incomplète.</t>
  </si>
  <si>
    <t>Cartographie des capacités métier partiellement exploitée.</t>
  </si>
  <si>
    <t>Cartographie des capacités métier utilisée pour orienter les choix.</t>
  </si>
  <si>
    <t>Cartographie des capacités métier utilisée comme référence stratégique.</t>
  </si>
  <si>
    <t>3Q5. Les parties prenantes métiers sont-elles impliquées dans la définition des priorités d’architecture ?</t>
  </si>
  <si>
    <t>Les parties prenantes métiers sont absentes des discussions.</t>
  </si>
  <si>
    <t>Les parties prenantes métiers sont consultées de manière ponctuelle.</t>
  </si>
  <si>
    <t>Les parties prenantes métiers participent mais sans rôle décisionnel.</t>
  </si>
  <si>
    <t>Les parties prenantes métiers sont impliquées et consultées régulièrement.</t>
  </si>
  <si>
    <t>Les parties prenantes métiers participent activement et influencent les décisions.</t>
  </si>
  <si>
    <t xml:space="preserve">4. </t>
  </si>
  <si>
    <t>Communication Capability</t>
  </si>
  <si>
    <t>Favoriser l’adhésion et la compréhension de l’architecture</t>
  </si>
  <si>
    <t>4Q1. Les concepts d’architecture sont-ils vulgarisés pour les rendre accessibles aux parties prenantes ?</t>
  </si>
  <si>
    <t>Aucune communication autour de l’architecture.</t>
  </si>
  <si>
    <t>Communication ponctuelle et limitée.</t>
  </si>
  <si>
    <t>Communication existante mais inégale.</t>
  </si>
  <si>
    <t>Communication régulière et adaptée.</t>
  </si>
  <si>
    <t>Communication institutionnalisée, planifiée et proactive.</t>
  </si>
  <si>
    <t>4Q2. Les architectes sont-ils capables d’animer des ateliers et des réunions efficaces ?</t>
  </si>
  <si>
    <t>Aucune animation d’atelier ni réunion efficace.</t>
  </si>
  <si>
    <t>Animation d’atelier occasionnelle et peu structurée.</t>
  </si>
  <si>
    <t>Animation d’ateliers variable selon les projets.</t>
  </si>
  <si>
    <t>Animation d’ateliers efficace et interactive.</t>
  </si>
  <si>
    <t>Animation d’ateliers et réunions exemplaires.</t>
  </si>
  <si>
    <t>4Q3. Des supports de communication adaptés (présentations, synthèses, etc.) sont-ils produits régulièrement ?</t>
  </si>
  <si>
    <t>Aucun support de communication adapté.</t>
  </si>
  <si>
    <t>Supports peu clairs ou inadaptés.</t>
  </si>
  <si>
    <t>Supports améliorés mais pas systématiques.</t>
  </si>
  <si>
    <t>Supports clairs et pertinents pour les parties prenantes.</t>
  </si>
  <si>
    <t>Supports de communication de grande qualité et réutilisables.</t>
  </si>
  <si>
    <t>4Q4. Les parties prenantes comprennent-elles la valeur ajoutée de l’architecture ?</t>
  </si>
  <si>
    <t>Les parties prenantes ne comprennent pas la valeur de l’architecture.</t>
  </si>
  <si>
    <t>Les parties prenantes comprennent partiellement la valeur.</t>
  </si>
  <si>
    <t>Compréhension partielle de la valeur ajoutée.</t>
  </si>
  <si>
    <t>Bonne compréhension de la valeur de l’architecture.</t>
  </si>
  <si>
    <t>Les parties prenantes comprennent et défendent la valeur ajoutée.</t>
  </si>
  <si>
    <t>4Q5. La communication est-elle bidirectionnelle (écoute active et remontée des besoins) ?</t>
  </si>
  <si>
    <t>Aucune écoute ni retour d’information.</t>
  </si>
  <si>
    <t>Communication unidirectionnelle descendante.</t>
  </si>
  <si>
    <t>Communication en partie bidirectionnelle.</t>
  </si>
  <si>
    <t>Communication bidirectionnelle active.</t>
  </si>
  <si>
    <t>Communication bidirectionnelle et collaborative.</t>
  </si>
  <si>
    <t xml:space="preserve">5. </t>
  </si>
  <si>
    <t>Tools &amp; Repository Capability</t>
  </si>
  <si>
    <t>Structurer et capitaliser les connaissances en architecture</t>
  </si>
  <si>
    <t>5Q1. Disposez-vous d’un outil d’architecture partagé et accessible à tous les architectes ?</t>
  </si>
  <si>
    <t>Aucun outil d’architecture n’est utilisé.</t>
  </si>
  <si>
    <t>Un outil est envisagé mais son utilisation est limitée.</t>
  </si>
  <si>
    <t>Outil disponible mais son usage n’est pas homogène.</t>
  </si>
  <si>
    <t>Outil d’architecture partagé et bien utilisé.</t>
  </si>
  <si>
    <t>Outil d’architecture totalement intégré à l’écosystème numérique.</t>
  </si>
  <si>
    <t>5Q2. Les modèles d’architecture sont-ils centralisés et à jour dans un référentiel unique ?</t>
  </si>
  <si>
    <t>Les modèles d’architecture sont dispersés et non centralisés.</t>
  </si>
  <si>
    <t>Les modèles sont regroupés partiellement, sans mise à jour.</t>
  </si>
  <si>
    <t>Modèles centralisés mais mis à jour de manière irrégulière.</t>
  </si>
  <si>
    <t>Modèles centralisés, à jour et accessibles.</t>
  </si>
  <si>
    <t>Modèles complets, mis à jour en temps réel et exploités activement.</t>
  </si>
  <si>
    <t>5Q3. L’outil d’architecture est-il utilisé de manière cohérente et normalisée ?</t>
  </si>
  <si>
    <t>L’outil n’est pas utilisé ou est obsolète.</t>
  </si>
  <si>
    <t>Utilisation sporadique de l’outil d’architecture.</t>
  </si>
  <si>
    <t>Utilisation variable selon les projets et les équipes.</t>
  </si>
  <si>
    <t>Utilisation homogène et standardisée.</t>
  </si>
  <si>
    <t>Utilisation systématique et institutionnalisée.</t>
  </si>
  <si>
    <t>5Q4. Les parties prenantes ont-elles accès aux informations pertinentes via l’outil ?</t>
  </si>
  <si>
    <t>Aucun accès ou visibilité pour les parties prenantes.</t>
  </si>
  <si>
    <t>Accès limité pour certaines parties prenantes.</t>
  </si>
  <si>
    <t>Accès partiel pour les parties prenantes, usage inégal.</t>
  </si>
  <si>
    <t>Accès facile pour les parties prenantes pertinentes.</t>
  </si>
  <si>
    <t>Accès personnalisé et collaboratif pour les parties prenantes.</t>
  </si>
  <si>
    <t>5Q5. L’outil d’architecture est-il intégré aux autres outils de l’entreprise (PMO, CMDB, etc.) ?</t>
  </si>
  <si>
    <t>Aucun lien avec les autres outils de l’entreprise.</t>
  </si>
  <si>
    <t>Début de réflexion sur les intégrations possibles.</t>
  </si>
  <si>
    <t>Intégrations partielles ou manuelles avec d’autres outils.</t>
  </si>
  <si>
    <t>Outil intégré aux principaux outils (PMO, CMDB, etc.).</t>
  </si>
  <si>
    <t>Intégration fluide et automatisée avec l’ensemble des outils.</t>
  </si>
  <si>
    <t xml:space="preserve">6. </t>
  </si>
  <si>
    <t>People and Team Capability</t>
  </si>
  <si>
    <t>Disposer des bonnes ressources pour porter l’architecture</t>
  </si>
  <si>
    <t>6Q1. Disposez-vous d’une équipe d’architectes clairement identifiée et dotée de rôles définis ?</t>
  </si>
  <si>
    <t>Pas d’équipe d’architectes identifiée ni de rôles définis.</t>
  </si>
  <si>
    <t>Définition des rôles embryonnaire ou partielle.</t>
  </si>
  <si>
    <t>Rôles définis mais manque de clarté ou d’homogénéité.</t>
  </si>
  <si>
    <t>Rôles bien définis et connus de l’organisation.</t>
  </si>
  <si>
    <t>Rôles définis, connus et intégrés dans la gouvernance.</t>
  </si>
  <si>
    <t>6Q2. Les compétences de l’équipe sont-elles alignées avec les besoins de l’organisation ?</t>
  </si>
  <si>
    <t>Compétences non alignées avec les besoins de l’organisation.</t>
  </si>
  <si>
    <t>Compétences partiellement alignées, lacunes importantes.</t>
  </si>
  <si>
    <t>Compétences globalement alignées mais à renforcer.</t>
  </si>
  <si>
    <t>Compétences alignées et plan de formation adapté.</t>
  </si>
  <si>
    <t>Compétences stratégiques alignées et en constante évolution.</t>
  </si>
  <si>
    <t>6Q3. Un plan de formation et de développement des compétences est-il mis en place ?</t>
  </si>
  <si>
    <t>Aucun plan de formation en place.</t>
  </si>
  <si>
    <t>Formations ponctuelles mais non planifiées.</t>
  </si>
  <si>
    <t>Formations présentes mais insuffisantes pour tous.</t>
  </si>
  <si>
    <t>Formations régulières et développement des compétences.</t>
  </si>
  <si>
    <t>Plan de formation structuré et personnalisé.</t>
  </si>
  <si>
    <t>6Q4. Les architectes collaborent-ils efficacement entre eux et avec les autres équipes ?</t>
  </si>
  <si>
    <t>Peu de collaboration entre architectes et autres équipes.</t>
  </si>
  <si>
    <t>Collaboration limitée à quelques projets.</t>
  </si>
  <si>
    <t>Collaboration variable selon les projets.</t>
  </si>
  <si>
    <t>Collaboration efficace et régulière avec les autres équipes.</t>
  </si>
  <si>
    <t>Collaboration proactive et transversale.</t>
  </si>
  <si>
    <t>6Q5. Les architectes sont-ils reconnus et valorisés dans l’organisation ?</t>
  </si>
  <si>
    <t>Aucune reconnaissance de la fonction architecture.</t>
  </si>
  <si>
    <t>Reconnaissance limitée ou ponctuelle de la fonction.</t>
  </si>
  <si>
    <t>Reconnaissance progressive mais pas institutionnalisée.</t>
  </si>
  <si>
    <t>Reconnaissance de la fonction architecture par le management.</t>
  </si>
  <si>
    <t>Fonction architecture reconnue et valorisée par l’organisation.</t>
  </si>
  <si>
    <t xml:space="preserve">7. </t>
  </si>
  <si>
    <t>Architecture Content &amp; Deliverables Capability</t>
  </si>
  <si>
    <t>Apporter de la valeur aux parties prenantes grâce à des livrables clairs et actionnables</t>
  </si>
  <si>
    <t>7Q1. Les livrables d’architecture (cartographies, modèles, roadmaps) sont-ils produits systématiquement ?</t>
  </si>
  <si>
    <t>Aucun livrable d’architecture produit.</t>
  </si>
  <si>
    <t>Livrables ponctuels et limités à quelques projets.</t>
  </si>
  <si>
    <t>Livrables produits mais qualité et usage variables.</t>
  </si>
  <si>
    <t>Livrables produits systématiquement et réutilisables.</t>
  </si>
  <si>
    <t>Livrables produits systématiquement, standardisés et automatisés.</t>
  </si>
  <si>
    <t>7Q2. Les livrables sont-ils compréhensibles et exploitables par les parties prenantes ?</t>
  </si>
  <si>
    <t>Livrables inexistants ou inutilisables.</t>
  </si>
  <si>
    <t>Livrables peu clairs ou incomplets.</t>
  </si>
  <si>
    <t>Livrables compréhensibles mais perfectibles.</t>
  </si>
  <si>
    <t>Livrables clairs et adaptés aux besoins des parties prenantes.</t>
  </si>
  <si>
    <t>Livrables exemplaires et adaptés à tous les usages.</t>
  </si>
  <si>
    <t>7Q3. Les livrables sont-ils tenus à jour et adaptés aux besoins des projets ?</t>
  </si>
  <si>
    <t>Livrables obsolètes et non maintenus.</t>
  </si>
  <si>
    <t>Mises à jour irrégulières et manuelles.</t>
  </si>
  <si>
    <t>Mises à jour effectuées mais sans planification.</t>
  </si>
  <si>
    <t>Livrables mis à jour régulièrement.</t>
  </si>
  <si>
    <t>Livrables mis à jour en temps réel.</t>
  </si>
  <si>
    <t>7Q4. Existe-t-il une bibliothèque ou un référentiel des livrables partagés ?</t>
  </si>
  <si>
    <t>Aucun référentiel partagé.</t>
  </si>
  <si>
    <t>Référentiel partiel et non centralisé.</t>
  </si>
  <si>
    <t>Référentiel disponible mais peu utilisé.</t>
  </si>
  <si>
    <t>Référentiel partagé et exploité.</t>
  </si>
  <si>
    <t>Référentiel collaboratif et totalement intégré.</t>
  </si>
  <si>
    <t>7Q5. Les livrables sont-ils intégrés dans les processus de gouvernance de l’entreprise ?</t>
  </si>
  <si>
    <t>Livrables non intégrés aux processus.</t>
  </si>
  <si>
    <t>Intégration limitée dans certains projets pilotes.</t>
  </si>
  <si>
    <t>Intégration partielle aux processus.</t>
  </si>
  <si>
    <t>Livrables intégrés aux processus projets.</t>
  </si>
  <si>
    <t>Livrables institutionnalisés dans tous les processus.</t>
  </si>
  <si>
    <t xml:space="preserve">8. </t>
  </si>
  <si>
    <t>Architecture Metrics Measurement Capability</t>
  </si>
  <si>
    <t>Piloter la performance de l’architecture et démontrer sa valeur</t>
  </si>
  <si>
    <t>8Q1. Des indicateurs de performance pour l’architecture sont-ils définis et suivis ?</t>
  </si>
  <si>
    <t>Aucun indicateur de performance défini.</t>
  </si>
  <si>
    <t>Indicateurs envisagés mais non déployés.</t>
  </si>
  <si>
    <t>Indicateurs définis mais usage limité.</t>
  </si>
  <si>
    <t>Indicateurs définis et suivis régulièrement.</t>
  </si>
  <si>
    <t>Indicateurs intégrés dans la gouvernance stratégique.</t>
  </si>
  <si>
    <t>8Q2. Mesurez-vous la conformité aux principes et standards d’architecture ?</t>
  </si>
  <si>
    <t>Aucune mesure de la conformité aux principes.</t>
  </si>
  <si>
    <t>Conformité mesurée de manière ponctuelle.</t>
  </si>
  <si>
    <t>Conformité mesurée partiellement.</t>
  </si>
  <si>
    <t>Conformité contrôlée et pilotée.</t>
  </si>
  <si>
    <t>Conformité et impact mesurés en temps réel.</t>
  </si>
  <si>
    <t>8Q3. L’impact de l’architecture sur les projets est-il évalué régulièrement (valeur ajoutée, réutilisation, etc.) ?</t>
  </si>
  <si>
    <t>Aucun suivi d’impact de l’architecture sur les projets.</t>
  </si>
  <si>
    <t>Impact évalué au cas par cas.</t>
  </si>
  <si>
    <t>Impact évalué mais pas systématiquement.</t>
  </si>
  <si>
    <t>Impact évalué avec retour d’expérience.</t>
  </si>
  <si>
    <t>Impact de l’architecture quantifié et piloté.</t>
  </si>
  <si>
    <t>8Q4. Les résultats des indicateurs sont-ils partagés avec les parties prenantes ?</t>
  </si>
  <si>
    <t>Aucun partage des résultats avec les parties prenantes.</t>
  </si>
  <si>
    <t>Résultats partagés de façon informelle.</t>
  </si>
  <si>
    <t>Résultats partagés à certains acteurs seulement.</t>
  </si>
  <si>
    <t>Résultats partagés de façon transparente.</t>
  </si>
  <si>
    <t>Résultats partagés proactivement et valorisés.</t>
  </si>
  <si>
    <t>8Q5. Les métriques servent-elles à piloter l’amélioration continue des pratiques d’architecture ?</t>
  </si>
  <si>
    <t>Aucune démarche d’amélioration continue basée sur des indicateurs.</t>
  </si>
  <si>
    <t>Démarche d’amélioration en réflexion seulement.</t>
  </si>
  <si>
    <t>Amélioration ponctuelle des pratiques.</t>
  </si>
  <si>
    <t>Amélioration continue pilotée par les indicateurs.</t>
  </si>
  <si>
    <t>Amélioration continue institutionnalisée et mesurée.</t>
  </si>
  <si>
    <t xml:space="preserve">9. </t>
  </si>
  <si>
    <t>Organisational Capability</t>
  </si>
  <si>
    <t>La capacité de l’organisation à soutenir et institutionnaliser l’architecture d’entreprise dans sa gouvernance globale</t>
  </si>
  <si>
    <t>9Q1. L’architecture est-elle reconnue comme une fonction stratégique par la direction ?</t>
  </si>
  <si>
    <t>L’architecture est perçue comme une fonction isolée et non stratégique.</t>
  </si>
  <si>
    <t>Architecture reconnue ponctuellement mais sans ancrage stratégique.</t>
  </si>
  <si>
    <t>Architecture reconnue mais pas encore stratégique.</t>
  </si>
  <si>
    <t>Architecture reconnue comme fonction stratégique.</t>
  </si>
  <si>
    <t>Architecture institutionnalisée et stratégique dans l’organisation.</t>
  </si>
  <si>
    <t>9Q2. L’architecture est-elle intégrée dans les processus de gouvernance des projets (comités, décisions, etc.) ?</t>
  </si>
  <si>
    <t>Aucune intégration dans les processus projets.</t>
  </si>
  <si>
    <t>Intégration partielle dans certains projets.</t>
  </si>
  <si>
    <t>Intégration dans certains processus projets mais pas tous.</t>
  </si>
  <si>
    <t>Intégration systématique dans la gouvernance projets.</t>
  </si>
  <si>
    <t>Intégration totale et systématique dans la gouvernance projets.</t>
  </si>
  <si>
    <t>9Q3. Les architectes sont-ils impliqués dès les phases amont des projets ?</t>
  </si>
  <si>
    <t>Architectes consultés trop tardivement ou jamais.</t>
  </si>
  <si>
    <t>Architectes impliqués sur certains projets mais rarement en amont.</t>
  </si>
  <si>
    <t>Architectes impliqués plus régulièrement mais sans systématisme.</t>
  </si>
  <si>
    <t>Architectes impliqués dès les phases amont.</t>
  </si>
  <si>
    <t>Architectes moteurs dès la conception stratégique.</t>
  </si>
  <si>
    <t>9Q4. L’architecture collabore-t-elle efficacement avec les autres fonctions clés (PMO, stratégie, sécurité, etc.) ?</t>
  </si>
  <si>
    <t>Peu de collaboration avec les autres fonctions clés.</t>
  </si>
  <si>
    <t>Collaboration limitée et ponctuelle.</t>
  </si>
  <si>
    <t>Collaboration en développement avec les autres fonctions clés.</t>
  </si>
  <si>
    <t>Collaboration fluide avec les autres fonctions clés.</t>
  </si>
  <si>
    <t>Collaboration proactive et permanente.</t>
  </si>
  <si>
    <t>9Q5. Les changements organisationnels prennent-ils systématiquement en compte les impacts sur l’architecture ?</t>
  </si>
  <si>
    <t>Les changements organisationnels ignorent l’architecture.</t>
  </si>
  <si>
    <t>Changements organisationnels rarement synchronisés avec l’architecture.</t>
  </si>
  <si>
    <t>Prise en compte progressive des impacts organisationnels.</t>
  </si>
  <si>
    <t>Changements organisationnels analysés pour les impacts sur l’architecture.</t>
  </si>
  <si>
    <t>Changements organisationnels systématiquement synchronisés avec l’architecture.</t>
  </si>
  <si>
    <t>Résultats :</t>
  </si>
  <si>
    <t xml:space="preserve"> ARCHITECTURE CAPABILITIES</t>
  </si>
  <si>
    <t>Les grandes entreprises se situent en général entre 3,5 et 4 points en moyenne de maturité</t>
  </si>
  <si>
    <t>Axes à traiter en urgence (Notes inférieures à 2)</t>
  </si>
  <si>
    <t>Axes à traiter à court terme (Notes &lt;3 et &gt;=2)</t>
  </si>
  <si>
    <t>Axes à renforcer (Notes &lt;4 et &gt;=3)</t>
  </si>
  <si>
    <t>Capacité</t>
  </si>
  <si>
    <t>Question</t>
  </si>
  <si>
    <t>Score</t>
  </si>
  <si>
    <t>Réponse illustrative</t>
  </si>
  <si>
    <t>Q Forms</t>
  </si>
  <si>
    <t>1. Architecture Governance Capability</t>
  </si>
  <si>
    <t>2. Architecture Practice Process Method Capability</t>
  </si>
  <si>
    <t>3. Business &amp; IT Strategy Linkage Capability</t>
  </si>
  <si>
    <t>4. Communication Capability</t>
  </si>
  <si>
    <t>5. Tools &amp; Repository Capability</t>
  </si>
  <si>
    <t>6. People and Team Capability</t>
  </si>
  <si>
    <t>7. Architecture Content &amp; Deliverables Capability</t>
  </si>
  <si>
    <t>8. Architecture Metrics Measurement Capability</t>
  </si>
  <si>
    <t>9. Organisational 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</si>
</sst>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0"/>
      </left>
      <right style="medium">
        <color indexed="64"/>
      </right>
      <top style="medium">
        <color theme="3"/>
      </top>
      <bottom style="medium">
        <color theme="3"/>
      </bottom>
      <diagonal/>
    </border>
    <border>
      <left style="thin">
        <color theme="0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theme="0"/>
      </right>
      <top style="medium">
        <color theme="3"/>
      </top>
      <bottom style="medium">
        <color theme="3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medium">
        <color indexed="64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 style="medium">
        <color indexed="64"/>
      </right>
      <top style="medium">
        <color indexed="64"/>
      </top>
      <bottom style="medium">
        <color theme="3"/>
      </bottom>
      <diagonal/>
    </border>
    <border>
      <left/>
      <right style="medium">
        <color theme="3"/>
      </right>
      <top style="medium">
        <color indexed="64"/>
      </top>
      <bottom style="medium">
        <color theme="3"/>
      </bottom>
      <diagonal/>
    </border>
    <border>
      <left style="medium">
        <color theme="3"/>
      </left>
      <right style="medium">
        <color theme="0"/>
      </right>
      <top style="medium">
        <color theme="3"/>
      </top>
      <bottom/>
      <diagonal/>
    </border>
    <border>
      <left style="thin">
        <color theme="0"/>
      </left>
      <right style="medium">
        <color indexed="64"/>
      </right>
      <top style="medium">
        <color theme="3"/>
      </top>
      <bottom style="thin">
        <color theme="0"/>
      </bottom>
      <diagonal/>
    </border>
    <border>
      <left style="thin">
        <color theme="0"/>
      </left>
      <right style="medium">
        <color theme="3"/>
      </right>
      <top style="medium">
        <color theme="3"/>
      </top>
      <bottom style="thin">
        <color theme="0"/>
      </bottom>
      <diagonal/>
    </border>
    <border>
      <left style="medium">
        <color theme="3"/>
      </left>
      <right style="medium">
        <color theme="0"/>
      </right>
      <top/>
      <bottom style="medium">
        <color theme="3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theme="3"/>
      </bottom>
      <diagonal/>
    </border>
    <border>
      <left style="thin">
        <color theme="0"/>
      </left>
      <right style="medium">
        <color theme="3"/>
      </right>
      <top style="thin">
        <color theme="0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thin">
        <color theme="4" tint="0.39997558519241921"/>
      </bottom>
      <diagonal/>
    </border>
    <border>
      <left style="medium">
        <color theme="3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3"/>
      </right>
      <top style="medium">
        <color indexed="64"/>
      </top>
      <bottom style="medium">
        <color indexed="64"/>
      </bottom>
      <diagonal/>
    </border>
    <border>
      <left style="medium">
        <color theme="3"/>
      </left>
      <right/>
      <top/>
      <bottom style="medium">
        <color indexed="64"/>
      </bottom>
      <diagonal/>
    </border>
    <border>
      <left/>
      <right style="medium">
        <color theme="3"/>
      </right>
      <top/>
      <bottom style="medium">
        <color indexed="64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/>
      <right style="medium">
        <color theme="3"/>
      </right>
      <top/>
      <bottom style="thin">
        <color theme="4" tint="0.39997558519241921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0" fillId="4" borderId="0" xfId="0" applyFill="1"/>
    <xf numFmtId="0" fontId="3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5" borderId="0" xfId="0" applyFill="1"/>
    <xf numFmtId="0" fontId="3" fillId="5" borderId="0" xfId="0" applyFont="1" applyFill="1" applyAlignment="1">
      <alignment vertical="center"/>
    </xf>
    <xf numFmtId="0" fontId="3" fillId="5" borderId="0" xfId="0" applyFont="1" applyFill="1"/>
    <xf numFmtId="0" fontId="8" fillId="5" borderId="0" xfId="0" applyFont="1" applyFill="1" applyAlignment="1">
      <alignment vertical="center"/>
    </xf>
    <xf numFmtId="0" fontId="8" fillId="5" borderId="0" xfId="0" applyFont="1" applyFill="1"/>
    <xf numFmtId="0" fontId="0" fillId="5" borderId="0" xfId="0" applyFill="1" applyAlignment="1">
      <alignment horizontal="center"/>
    </xf>
    <xf numFmtId="0" fontId="7" fillId="5" borderId="0" xfId="0" applyFont="1" applyFill="1"/>
    <xf numFmtId="0" fontId="0" fillId="5" borderId="0" xfId="0" applyFill="1" applyAlignment="1">
      <alignment horizontal="centerContinuous"/>
    </xf>
    <xf numFmtId="0" fontId="7" fillId="5" borderId="0" xfId="0" applyFont="1" applyFill="1" applyAlignment="1">
      <alignment horizontal="centerContinuous"/>
    </xf>
    <xf numFmtId="0" fontId="12" fillId="2" borderId="3" xfId="0" applyFont="1" applyFill="1" applyBorder="1" applyAlignment="1">
      <alignment horizontal="centerContinuous"/>
    </xf>
    <xf numFmtId="0" fontId="5" fillId="2" borderId="4" xfId="0" applyFont="1" applyFill="1" applyBorder="1"/>
    <xf numFmtId="0" fontId="13" fillId="5" borderId="8" xfId="0" applyFont="1" applyFill="1" applyBorder="1" applyAlignment="1">
      <alignment horizontal="left" wrapText="1"/>
    </xf>
    <xf numFmtId="0" fontId="0" fillId="5" borderId="9" xfId="0" applyFill="1" applyBorder="1"/>
    <xf numFmtId="0" fontId="0" fillId="5" borderId="12" xfId="0" applyFill="1" applyBorder="1"/>
    <xf numFmtId="0" fontId="0" fillId="5" borderId="13" xfId="0" applyFill="1" applyBorder="1"/>
    <xf numFmtId="0" fontId="13" fillId="5" borderId="16" xfId="0" applyFont="1" applyFill="1" applyBorder="1" applyAlignment="1">
      <alignment horizontal="left" wrapText="1"/>
    </xf>
    <xf numFmtId="2" fontId="2" fillId="2" borderId="11" xfId="0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centerContinuous"/>
    </xf>
    <xf numFmtId="0" fontId="10" fillId="5" borderId="14" xfId="0" applyFont="1" applyFill="1" applyBorder="1"/>
    <xf numFmtId="0" fontId="0" fillId="5" borderId="0" xfId="0" applyFill="1" applyAlignment="1">
      <alignment horizontal="right"/>
    </xf>
    <xf numFmtId="0" fontId="0" fillId="0" borderId="0" xfId="0" applyAlignment="1">
      <alignment horizontal="right"/>
    </xf>
    <xf numFmtId="0" fontId="3" fillId="2" borderId="3" xfId="0" applyFont="1" applyFill="1" applyBorder="1" applyAlignment="1">
      <alignment vertical="center"/>
    </xf>
    <xf numFmtId="0" fontId="11" fillId="5" borderId="21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indent="1"/>
    </xf>
    <xf numFmtId="0" fontId="2" fillId="2" borderId="20" xfId="0" applyFont="1" applyFill="1" applyBorder="1" applyAlignment="1">
      <alignment horizontal="left" wrapText="1"/>
    </xf>
    <xf numFmtId="0" fontId="11" fillId="5" borderId="18" xfId="0" applyFont="1" applyFill="1" applyBorder="1" applyAlignment="1">
      <alignment horizontal="left" wrapText="1"/>
    </xf>
    <xf numFmtId="0" fontId="0" fillId="5" borderId="19" xfId="0" applyFill="1" applyBorder="1" applyAlignment="1">
      <alignment horizontal="left" indent="3"/>
    </xf>
    <xf numFmtId="0" fontId="0" fillId="0" borderId="0" xfId="0" applyAlignment="1">
      <alignment vertical="center"/>
    </xf>
    <xf numFmtId="0" fontId="4" fillId="5" borderId="0" xfId="0" applyFont="1" applyFill="1" applyAlignment="1">
      <alignment vertical="center"/>
    </xf>
    <xf numFmtId="0" fontId="1" fillId="3" borderId="22" xfId="0" applyFont="1" applyFill="1" applyBorder="1" applyAlignment="1">
      <alignment horizontal="left" indent="1"/>
    </xf>
    <xf numFmtId="0" fontId="0" fillId="5" borderId="22" xfId="0" applyFill="1" applyBorder="1" applyAlignment="1">
      <alignment horizontal="left" indent="3"/>
    </xf>
    <xf numFmtId="0" fontId="0" fillId="5" borderId="27" xfId="0" applyFill="1" applyBorder="1" applyAlignment="1">
      <alignment horizontal="left" indent="3"/>
    </xf>
    <xf numFmtId="0" fontId="11" fillId="5" borderId="27" xfId="0" applyFont="1" applyFill="1" applyBorder="1" applyAlignment="1">
      <alignment horizontal="left" wrapText="1"/>
    </xf>
    <xf numFmtId="0" fontId="2" fillId="2" borderId="10" xfId="0" applyFont="1" applyFill="1" applyBorder="1" applyAlignment="1">
      <alignment horizontal="left" vertical="center" wrapText="1"/>
    </xf>
    <xf numFmtId="0" fontId="11" fillId="5" borderId="28" xfId="0" applyFont="1" applyFill="1" applyBorder="1" applyAlignment="1">
      <alignment horizontal="left" wrapText="1"/>
    </xf>
    <xf numFmtId="0" fontId="0" fillId="5" borderId="29" xfId="0" applyFill="1" applyBorder="1" applyAlignment="1">
      <alignment horizontal="left" indent="3"/>
    </xf>
    <xf numFmtId="0" fontId="11" fillId="5" borderId="30" xfId="0" applyFont="1" applyFill="1" applyBorder="1" applyAlignment="1">
      <alignment horizontal="left" wrapText="1"/>
    </xf>
    <xf numFmtId="0" fontId="0" fillId="0" borderId="31" xfId="0" applyBorder="1"/>
    <xf numFmtId="0" fontId="15" fillId="0" borderId="3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4" fillId="5" borderId="31" xfId="0" applyFont="1" applyFill="1" applyBorder="1" applyAlignment="1">
      <alignment vertical="center"/>
    </xf>
    <xf numFmtId="0" fontId="2" fillId="2" borderId="34" xfId="0" applyFont="1" applyFill="1" applyBorder="1" applyAlignment="1">
      <alignment horizontal="left" wrapText="1"/>
    </xf>
    <xf numFmtId="0" fontId="2" fillId="2" borderId="35" xfId="0" applyFont="1" applyFill="1" applyBorder="1" applyAlignment="1">
      <alignment horizontal="left" wrapText="1"/>
    </xf>
    <xf numFmtId="0" fontId="1" fillId="3" borderId="34" xfId="0" applyFont="1" applyFill="1" applyBorder="1" applyAlignment="1">
      <alignment horizontal="left" indent="1"/>
    </xf>
    <xf numFmtId="0" fontId="1" fillId="3" borderId="35" xfId="0" applyFont="1" applyFill="1" applyBorder="1" applyAlignment="1">
      <alignment horizontal="left" indent="1"/>
    </xf>
    <xf numFmtId="0" fontId="0" fillId="5" borderId="34" xfId="0" applyFill="1" applyBorder="1" applyAlignment="1">
      <alignment horizontal="left" indent="3"/>
    </xf>
    <xf numFmtId="0" fontId="0" fillId="5" borderId="35" xfId="0" applyFill="1" applyBorder="1" applyAlignment="1">
      <alignment horizontal="left" indent="3"/>
    </xf>
    <xf numFmtId="0" fontId="0" fillId="0" borderId="32" xfId="0" applyBorder="1"/>
    <xf numFmtId="0" fontId="0" fillId="5" borderId="37" xfId="0" applyFill="1" applyBorder="1" applyAlignment="1">
      <alignment horizontal="left" indent="3"/>
    </xf>
    <xf numFmtId="0" fontId="0" fillId="5" borderId="7" xfId="0" applyFill="1" applyBorder="1" applyAlignment="1">
      <alignment horizontal="left" indent="3"/>
    </xf>
    <xf numFmtId="0" fontId="0" fillId="5" borderId="28" xfId="0" applyFill="1" applyBorder="1" applyAlignment="1">
      <alignment horizontal="left" indent="3"/>
    </xf>
    <xf numFmtId="0" fontId="0" fillId="5" borderId="38" xfId="0" applyFill="1" applyBorder="1" applyAlignment="1">
      <alignment horizontal="left" indent="3"/>
    </xf>
    <xf numFmtId="0" fontId="1" fillId="3" borderId="39" xfId="0" applyFont="1" applyFill="1" applyBorder="1" applyAlignment="1">
      <alignment horizontal="left" indent="1"/>
    </xf>
    <xf numFmtId="0" fontId="0" fillId="5" borderId="39" xfId="0" applyFill="1" applyBorder="1" applyAlignment="1">
      <alignment horizontal="left" indent="3"/>
    </xf>
    <xf numFmtId="0" fontId="11" fillId="5" borderId="7" xfId="0" applyFont="1" applyFill="1" applyBorder="1" applyAlignment="1">
      <alignment horizontal="left" vertical="center" wrapText="1"/>
    </xf>
    <xf numFmtId="0" fontId="0" fillId="0" borderId="40" xfId="0" applyBorder="1" applyAlignment="1">
      <alignment vertical="center"/>
    </xf>
    <xf numFmtId="0" fontId="15" fillId="0" borderId="41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1" fillId="3" borderId="47" xfId="0" applyFont="1" applyFill="1" applyBorder="1" applyAlignment="1">
      <alignment horizontal="left" indent="1"/>
    </xf>
    <xf numFmtId="0" fontId="1" fillId="3" borderId="48" xfId="0" applyFont="1" applyFill="1" applyBorder="1" applyAlignment="1">
      <alignment horizontal="left" indent="1"/>
    </xf>
    <xf numFmtId="0" fontId="0" fillId="5" borderId="50" xfId="0" applyFill="1" applyBorder="1" applyAlignment="1">
      <alignment horizontal="left" indent="3"/>
    </xf>
    <xf numFmtId="0" fontId="0" fillId="5" borderId="51" xfId="0" applyFill="1" applyBorder="1" applyAlignment="1">
      <alignment horizontal="left" indent="3"/>
    </xf>
    <xf numFmtId="0" fontId="0" fillId="0" borderId="31" xfId="0" applyBorder="1" applyAlignment="1">
      <alignment vertical="center"/>
    </xf>
    <xf numFmtId="0" fontId="2" fillId="6" borderId="5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right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right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8" fillId="5" borderId="55" xfId="0" applyFont="1" applyFill="1" applyBorder="1" applyAlignment="1">
      <alignment horizontal="right" vertical="center"/>
    </xf>
    <xf numFmtId="0" fontId="11" fillId="5" borderId="56" xfId="0" applyFont="1" applyFill="1" applyBorder="1" applyAlignment="1">
      <alignment horizontal="left" vertical="center" wrapText="1"/>
    </xf>
    <xf numFmtId="0" fontId="0" fillId="3" borderId="57" xfId="0" applyFill="1" applyBorder="1" applyAlignment="1">
      <alignment horizontal="right"/>
    </xf>
    <xf numFmtId="0" fontId="1" fillId="3" borderId="58" xfId="0" applyFont="1" applyFill="1" applyBorder="1" applyAlignment="1">
      <alignment horizontal="left" indent="1"/>
    </xf>
    <xf numFmtId="0" fontId="0" fillId="0" borderId="57" xfId="0" applyBorder="1" applyAlignment="1">
      <alignment horizontal="right"/>
    </xf>
    <xf numFmtId="0" fontId="0" fillId="5" borderId="58" xfId="0" applyFill="1" applyBorder="1" applyAlignment="1">
      <alignment horizontal="left" indent="3"/>
    </xf>
    <xf numFmtId="0" fontId="6" fillId="2" borderId="57" xfId="0" applyFont="1" applyFill="1" applyBorder="1" applyAlignment="1">
      <alignment horizontal="right" vertical="center" wrapText="1"/>
    </xf>
    <xf numFmtId="0" fontId="2" fillId="2" borderId="59" xfId="0" applyFont="1" applyFill="1" applyBorder="1" applyAlignment="1">
      <alignment horizontal="left" wrapText="1"/>
    </xf>
    <xf numFmtId="0" fontId="11" fillId="5" borderId="56" xfId="0" applyFont="1" applyFill="1" applyBorder="1" applyAlignment="1">
      <alignment horizontal="left" wrapText="1"/>
    </xf>
    <xf numFmtId="0" fontId="9" fillId="5" borderId="55" xfId="0" applyFont="1" applyFill="1" applyBorder="1" applyAlignment="1">
      <alignment horizontal="right" vertical="center" wrapText="1"/>
    </xf>
    <xf numFmtId="0" fontId="0" fillId="0" borderId="43" xfId="0" applyBorder="1" applyAlignment="1">
      <alignment horizontal="right"/>
    </xf>
    <xf numFmtId="0" fontId="0" fillId="5" borderId="60" xfId="0" applyFill="1" applyBorder="1" applyAlignment="1">
      <alignment horizontal="left" indent="3"/>
    </xf>
    <xf numFmtId="0" fontId="0" fillId="0" borderId="6" xfId="0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6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0" fillId="3" borderId="6" xfId="0" applyFill="1" applyBorder="1"/>
    <xf numFmtId="0" fontId="2" fillId="2" borderId="23" xfId="0" applyFont="1" applyFill="1" applyBorder="1" applyAlignment="1">
      <alignment vertical="center"/>
    </xf>
    <xf numFmtId="0" fontId="8" fillId="5" borderId="0" xfId="0" applyFont="1" applyFill="1" applyAlignment="1" applyProtection="1">
      <alignment vertical="center"/>
      <protection locked="0"/>
    </xf>
    <xf numFmtId="0" fontId="0" fillId="5" borderId="0" xfId="0" applyFill="1" applyProtection="1">
      <protection locked="0"/>
    </xf>
    <xf numFmtId="0" fontId="3" fillId="5" borderId="0" xfId="0" applyFont="1" applyFill="1" applyProtection="1">
      <protection locked="0"/>
    </xf>
    <xf numFmtId="0" fontId="8" fillId="5" borderId="0" xfId="0" applyFont="1" applyFill="1" applyProtection="1">
      <protection locked="0"/>
    </xf>
    <xf numFmtId="0" fontId="16" fillId="5" borderId="15" xfId="0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2" fillId="2" borderId="35" xfId="0" applyFont="1" applyFill="1" applyBorder="1" applyAlignment="1">
      <alignment horizontal="center" wrapText="1"/>
    </xf>
    <xf numFmtId="0" fontId="1" fillId="3" borderId="48" xfId="0" applyFont="1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  <protection locked="0" hidden="0"/>
    </dxf>
    <dxf>
      <alignment horizontal="left" vertical="bottom" textRotation="0" wrapText="0" indent="3" justifyLastLine="0" shrinkToFit="0" readingOrder="0"/>
      <border diagonalUp="0" diagonalDown="0">
        <left/>
        <right style="medium">
          <color theme="3"/>
        </right>
        <vertical/>
      </border>
    </dxf>
    <dxf>
      <alignment horizontal="right" textRotation="0" indent="0" justifyLastLine="0" shrinkToFit="0" readingOrder="0"/>
      <border diagonalUp="0" diagonalDown="0">
        <left style="medium">
          <color theme="3"/>
        </left>
        <right/>
        <vertic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'Synthèse Résultats'!$B$4:$B$22</c15:sqref>
                  </c15:fullRef>
                </c:ext>
              </c:extLst>
              <c:f>('Synthèse Résultats'!$B$5,'Synthèse Résultats'!$B$7,'Synthèse Résultats'!$B$9,'Synthèse Résultats'!$B$11,'Synthèse Résultats'!$B$13,'Synthèse Résultats'!$B$15,'Synthèse Résultats'!$B$17,'Synthèse Résultats'!$B$19,'Synthèse Résultats'!$B$21)</c:f>
              <c:strCache>
                <c:ptCount val="9"/>
                <c:pt idx="0">
                  <c:v> ARCHITECTURE CAPABILITIES</c:v>
                </c:pt>
                <c:pt idx="1">
                  <c:v>Architecture Governance</c:v>
                </c:pt>
                <c:pt idx="2">
                  <c:v>Assurer la cohérence des transformations et limiter les dérives</c:v>
                </c:pt>
                <c:pt idx="3">
                  <c:v>Architecture Practice Process Method</c:v>
                </c:pt>
                <c:pt idx="4">
                  <c:v>Standardiser les pratiques pour produire des résultats reproductibles et cohérents</c:v>
                </c:pt>
                <c:pt idx="5">
                  <c:v>Business &amp; IT Strategy Linkage</c:v>
                </c:pt>
                <c:pt idx="6">
                  <c:v>S’assurer que l’architecture soutient réellement les besoins métiers</c:v>
                </c:pt>
                <c:pt idx="7">
                  <c:v>Communication</c:v>
                </c:pt>
                <c:pt idx="8">
                  <c:v>Favoriser l’adhésion et la compréhension de l’architecture</c:v>
                </c:pt>
                <c:pt idx="9">
                  <c:v>Tools &amp; Repository</c:v>
                </c:pt>
                <c:pt idx="10">
                  <c:v>Structurer et capitaliser les connaissances en architecture</c:v>
                </c:pt>
                <c:pt idx="11">
                  <c:v>People and Team</c:v>
                </c:pt>
                <c:pt idx="12">
                  <c:v>Disposer des bonnes ressources pour porter l’architecture</c:v>
                </c:pt>
                <c:pt idx="13">
                  <c:v>Architecture Content &amp; Deliverables</c:v>
                </c:pt>
                <c:pt idx="14">
                  <c:v>Apporter de la valeur aux parties prenantes grâce à des livrables clairs et actionnables</c:v>
                </c:pt>
                <c:pt idx="15">
                  <c:v>Architecture Metrics Measurement</c:v>
                </c:pt>
                <c:pt idx="16">
                  <c:v>Piloter la performance de l’architecture et démontrer sa valeur</c:v>
                </c:pt>
                <c:pt idx="17">
                  <c:v>Organisational</c:v>
                </c:pt>
                <c:pt idx="18">
                  <c:v>La capacité de l’organisation à soutenir et institutionnaliser l’architecture d’entreprise dans sa gouvernance globale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'Synthèse Résultats'!$C$4:$C$22</c15:sqref>
                  </c15:fullRef>
                </c:ext>
              </c:extLst>
              <c:f>('Synthèse Résultats'!$C$5,'Synthèse Résultats'!$C$7,'Synthèse Résultats'!$C$9,'Synthèse Résultats'!$C$11,'Synthèse Résultats'!$C$13,'Synthèse Résultats'!$C$15,'Synthèse Résultats'!$C$17,'Synthèse Résultats'!$C$19,'Synthèse Résultats'!$C$21)</c:f>
            </c:numRef>
          </c:val>
          <c:extLst>
            <c:ext xmlns:c16="http://schemas.microsoft.com/office/drawing/2014/chart" uri="{C3380CC4-5D6E-409C-BE32-E72D297353CC}">
              <c16:uniqueId val="{00000000-15F1-471E-81B5-EC3D0489758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'Synthèse Résultats'!$B$4:$B$22</c15:sqref>
                  </c15:fullRef>
                </c:ext>
              </c:extLst>
              <c:f>('Synthèse Résultats'!$B$5,'Synthèse Résultats'!$B$7,'Synthèse Résultats'!$B$9,'Synthèse Résultats'!$B$11,'Synthèse Résultats'!$B$13,'Synthèse Résultats'!$B$15,'Synthèse Résultats'!$B$17,'Synthèse Résultats'!$B$19,'Synthèse Résultats'!$B$21)</c:f>
              <c:strCache>
                <c:ptCount val="9"/>
                <c:pt idx="0">
                  <c:v>Architecture Governance</c:v>
                </c:pt>
                <c:pt idx="1">
                  <c:v>Architecture Practice Process Method</c:v>
                </c:pt>
                <c:pt idx="2">
                  <c:v>Business &amp; IT Strategy Linkage</c:v>
                </c:pt>
                <c:pt idx="3">
                  <c:v>Communication</c:v>
                </c:pt>
                <c:pt idx="4">
                  <c:v>Tools &amp; Repository</c:v>
                </c:pt>
                <c:pt idx="5">
                  <c:v>People and Team</c:v>
                </c:pt>
                <c:pt idx="6">
                  <c:v>Architecture Content &amp; Deliverables</c:v>
                </c:pt>
                <c:pt idx="7">
                  <c:v>Architecture Metrics Measurement</c:v>
                </c:pt>
                <c:pt idx="8">
                  <c:v>Organisational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'Synthèse Résultats'!$D$4:$D$22</c15:sqref>
                  </c15:fullRef>
                </c:ext>
              </c:extLst>
              <c:f>('Synthèse Résultats'!$D$5,'Synthèse Résultats'!$D$7,'Synthèse Résultats'!$D$9,'Synthèse Résultats'!$D$11,'Synthèse Résultats'!$D$13,'Synthèse Résultats'!$D$15,'Synthèse Résultats'!$D$17,'Synthèse Résultats'!$D$19,'Synthèse Résultats'!$D$21)</c:f>
              <c:numCache>
                <c:formatCode>General</c:formatCode>
                <c:ptCount val="9"/>
                <c:pt idx="0">
                  <c:v>3.6</c:v>
                </c:pt>
                <c:pt idx="1">
                  <c:v>3</c:v>
                </c:pt>
                <c:pt idx="2">
                  <c:v>1.8</c:v>
                </c:pt>
                <c:pt idx="3">
                  <c:v>2.6</c:v>
                </c:pt>
                <c:pt idx="4">
                  <c:v>3</c:v>
                </c:pt>
                <c:pt idx="5">
                  <c:v>1.4</c:v>
                </c:pt>
                <c:pt idx="6">
                  <c:v>4</c:v>
                </c:pt>
                <c:pt idx="7">
                  <c:v>2.2000000000000002</c:v>
                </c:pt>
                <c:pt idx="8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1-471E-81B5-EC3D04897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692863"/>
        <c:axId val="861690463"/>
      </c:radarChart>
      <c:catAx>
        <c:axId val="86169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690463"/>
        <c:crosses val="autoZero"/>
        <c:auto val="1"/>
        <c:lblAlgn val="ctr"/>
        <c:lblOffset val="100"/>
        <c:noMultiLvlLbl val="0"/>
      </c:catAx>
      <c:valAx>
        <c:axId val="86169046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69286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292233</xdr:rowOff>
    </xdr:from>
    <xdr:to>
      <xdr:col>1</xdr:col>
      <xdr:colOff>726141</xdr:colOff>
      <xdr:row>3</xdr:row>
      <xdr:rowOff>23384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B588BD4-CFD9-8E4E-D2B4-A05EB055B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233"/>
          <a:ext cx="1515035" cy="448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358589</xdr:colOff>
      <xdr:row>3</xdr:row>
      <xdr:rowOff>0</xdr:rowOff>
    </xdr:from>
    <xdr:to>
      <xdr:col>9</xdr:col>
      <xdr:colOff>537882</xdr:colOff>
      <xdr:row>22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31B61BE-C973-E876-024B-C4DE2AF49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FBC2DC-4459-4F15-B6D6-F9466993EBF8}" name="Tableau4" displayName="Tableau4" ref="D3:F291" totalsRowShown="0" tableBorderDxfId="3">
  <tableColumns count="3">
    <tableColumn id="1" xr3:uid="{5B83920B-60B5-4D34-A00D-BE2DC9C90A64}" name="Note" dataDxfId="2"/>
    <tableColumn id="2" xr3:uid="{5DA255BA-8DE0-42B1-9610-5EE634A46333}" name="Questionnaire" dataDxfId="1"/>
    <tableColumn id="3" xr3:uid="{C4F9251A-70C4-4FC3-BD35-60C34E684757}" name="Commentair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C221-5CA1-4A5C-9E77-AD3A69C20CEE}">
  <dimension ref="A1:DV880"/>
  <sheetViews>
    <sheetView tabSelected="1" zoomScale="85" zoomScaleNormal="85" workbookViewId="0">
      <selection activeCell="D6" sqref="C6:D11"/>
    </sheetView>
  </sheetViews>
  <sheetFormatPr baseColWidth="10" defaultColWidth="11.44140625" defaultRowHeight="14.4" outlineLevelRow="1" x14ac:dyDescent="0.3"/>
  <cols>
    <col min="1" max="2" width="11.5546875" style="8"/>
    <col min="3" max="3" width="4.33203125" style="7" customWidth="1"/>
    <col min="4" max="4" width="11.5546875" style="29" customWidth="1"/>
    <col min="5" max="5" width="117.33203125" customWidth="1"/>
    <col min="6" max="6" width="82.109375" style="8" customWidth="1"/>
    <col min="7" max="126" width="11.5546875" style="8"/>
  </cols>
  <sheetData>
    <row r="1" spans="1:126" s="8" customFormat="1" ht="23.4" x14ac:dyDescent="0.45">
      <c r="A1" s="25" t="s">
        <v>0</v>
      </c>
      <c r="C1" s="15"/>
      <c r="D1" s="28"/>
      <c r="E1" s="16" t="s">
        <v>1</v>
      </c>
    </row>
    <row r="2" spans="1:126" s="8" customFormat="1" ht="15" thickBot="1" x14ac:dyDescent="0.35">
      <c r="C2" s="15"/>
      <c r="D2" s="28"/>
      <c r="E2" s="15"/>
    </row>
    <row r="3" spans="1:126" s="6" customFormat="1" ht="18.600000000000001" thickBot="1" x14ac:dyDescent="0.35">
      <c r="A3" s="9"/>
      <c r="B3" s="9"/>
      <c r="C3" s="30"/>
      <c r="D3" s="76" t="s">
        <v>2</v>
      </c>
      <c r="E3" s="77" t="s">
        <v>3</v>
      </c>
      <c r="F3" s="75" t="s">
        <v>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</row>
    <row r="4" spans="1:126" s="11" customFormat="1" ht="18.600000000000001" thickBot="1" x14ac:dyDescent="0.35">
      <c r="C4" s="98" t="s">
        <v>5</v>
      </c>
      <c r="D4" s="78">
        <f>AVERAGE(D6,D12,D18,D24,D30)</f>
        <v>3.6</v>
      </c>
      <c r="E4" s="79" t="s">
        <v>6</v>
      </c>
      <c r="F4" s="99"/>
    </row>
    <row r="5" spans="1:126" s="3" customFormat="1" ht="18.600000000000001" outlineLevel="1" thickBot="1" x14ac:dyDescent="0.35">
      <c r="A5" s="8"/>
      <c r="B5" s="8"/>
      <c r="C5" s="96"/>
      <c r="D5" s="80"/>
      <c r="E5" s="81" t="s">
        <v>7</v>
      </c>
      <c r="F5" s="10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</row>
    <row r="6" spans="1:126" outlineLevel="1" x14ac:dyDescent="0.3">
      <c r="C6" s="97"/>
      <c r="D6" s="82">
        <f>SUM(D7:D11)</f>
        <v>2</v>
      </c>
      <c r="E6" s="83" t="s">
        <v>8</v>
      </c>
      <c r="F6" s="100"/>
    </row>
    <row r="7" spans="1:126" outlineLevel="1" x14ac:dyDescent="0.3">
      <c r="C7" s="92" t="b">
        <v>0</v>
      </c>
      <c r="D7" s="84" t="str">
        <f>IF(C7=TRUE,1,"")</f>
        <v/>
      </c>
      <c r="E7" s="85" t="s">
        <v>9</v>
      </c>
      <c r="F7" s="100"/>
    </row>
    <row r="8" spans="1:126" outlineLevel="1" x14ac:dyDescent="0.3">
      <c r="C8" s="92" t="b">
        <v>1</v>
      </c>
      <c r="D8" s="84">
        <f>IF(C8=TRUE,2,"")</f>
        <v>2</v>
      </c>
      <c r="E8" s="85" t="s">
        <v>10</v>
      </c>
      <c r="F8" s="100"/>
    </row>
    <row r="9" spans="1:126" outlineLevel="1" x14ac:dyDescent="0.3">
      <c r="C9" s="92" t="b">
        <v>0</v>
      </c>
      <c r="D9" s="84" t="str">
        <f>IF(C9=TRUE,3,"")</f>
        <v/>
      </c>
      <c r="E9" s="85" t="s">
        <v>11</v>
      </c>
      <c r="F9" s="100"/>
    </row>
    <row r="10" spans="1:126" outlineLevel="1" x14ac:dyDescent="0.3">
      <c r="C10" s="92" t="b">
        <v>0</v>
      </c>
      <c r="D10" s="84" t="str">
        <f>IF(C10=TRUE,4,"")</f>
        <v/>
      </c>
      <c r="E10" s="85" t="s">
        <v>12</v>
      </c>
      <c r="F10" s="100"/>
    </row>
    <row r="11" spans="1:126" s="3" customFormat="1" outlineLevel="1" x14ac:dyDescent="0.3">
      <c r="A11" s="8"/>
      <c r="B11" s="8"/>
      <c r="C11" s="92" t="b">
        <v>0</v>
      </c>
      <c r="D11" s="84" t="str">
        <f>IF(C11=TRUE,5,"")</f>
        <v/>
      </c>
      <c r="E11" s="85" t="s">
        <v>13</v>
      </c>
      <c r="F11" s="10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</row>
    <row r="12" spans="1:126" outlineLevel="1" x14ac:dyDescent="0.3">
      <c r="C12" s="97"/>
      <c r="D12" s="82">
        <f>SUM(D13:D17)</f>
        <v>4</v>
      </c>
      <c r="E12" s="83" t="s">
        <v>14</v>
      </c>
      <c r="F12" s="100"/>
    </row>
    <row r="13" spans="1:126" outlineLevel="1" x14ac:dyDescent="0.3">
      <c r="C13" s="92" t="b">
        <v>0</v>
      </c>
      <c r="D13" s="84" t="str">
        <f>IF(C13=TRUE,1,"")</f>
        <v/>
      </c>
      <c r="E13" s="85" t="s">
        <v>15</v>
      </c>
      <c r="F13" s="100"/>
    </row>
    <row r="14" spans="1:126" outlineLevel="1" x14ac:dyDescent="0.3">
      <c r="C14" s="92" t="b">
        <v>0</v>
      </c>
      <c r="D14" s="84" t="str">
        <f>IF(C14=TRUE,2,"")</f>
        <v/>
      </c>
      <c r="E14" s="85" t="s">
        <v>16</v>
      </c>
      <c r="F14" s="100"/>
    </row>
    <row r="15" spans="1:126" outlineLevel="1" x14ac:dyDescent="0.3">
      <c r="C15" s="92" t="b">
        <v>0</v>
      </c>
      <c r="D15" s="84" t="str">
        <f>IF(C15=TRUE,3,"")</f>
        <v/>
      </c>
      <c r="E15" s="85" t="s">
        <v>17</v>
      </c>
      <c r="F15" s="100"/>
    </row>
    <row r="16" spans="1:126" outlineLevel="1" x14ac:dyDescent="0.3">
      <c r="C16" s="92" t="b">
        <v>1</v>
      </c>
      <c r="D16" s="84">
        <f>IF(C16=TRUE,4,"")</f>
        <v>4</v>
      </c>
      <c r="E16" s="85" t="s">
        <v>18</v>
      </c>
      <c r="F16" s="100"/>
    </row>
    <row r="17" spans="1:126" s="3" customFormat="1" outlineLevel="1" x14ac:dyDescent="0.3">
      <c r="A17" s="8"/>
      <c r="B17" s="8"/>
      <c r="C17" s="92" t="b">
        <v>0</v>
      </c>
      <c r="D17" s="84" t="str">
        <f>IF(C17=TRUE,5,"")</f>
        <v/>
      </c>
      <c r="E17" s="85" t="s">
        <v>19</v>
      </c>
      <c r="F17" s="10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</row>
    <row r="18" spans="1:126" outlineLevel="1" x14ac:dyDescent="0.3">
      <c r="C18" s="94"/>
      <c r="D18" s="82">
        <f>SUM(D19:D23)</f>
        <v>3</v>
      </c>
      <c r="E18" s="83" t="s">
        <v>20</v>
      </c>
      <c r="F18" s="100"/>
    </row>
    <row r="19" spans="1:126" outlineLevel="1" x14ac:dyDescent="0.3">
      <c r="C19" s="92" t="b">
        <v>0</v>
      </c>
      <c r="D19" s="84" t="str">
        <f>IF(C19=TRUE,1,"")</f>
        <v/>
      </c>
      <c r="E19" s="85" t="s">
        <v>21</v>
      </c>
      <c r="F19" s="100"/>
    </row>
    <row r="20" spans="1:126" outlineLevel="1" x14ac:dyDescent="0.3">
      <c r="C20" s="92" t="b">
        <v>0</v>
      </c>
      <c r="D20" s="84" t="str">
        <f>IF(C20=TRUE,2,"")</f>
        <v/>
      </c>
      <c r="E20" s="85" t="s">
        <v>22</v>
      </c>
      <c r="F20" s="100"/>
    </row>
    <row r="21" spans="1:126" outlineLevel="1" x14ac:dyDescent="0.3">
      <c r="C21" s="92" t="b">
        <v>1</v>
      </c>
      <c r="D21" s="84">
        <f>IF(C21=TRUE,3,"")</f>
        <v>3</v>
      </c>
      <c r="E21" s="85" t="s">
        <v>23</v>
      </c>
      <c r="F21" s="100"/>
    </row>
    <row r="22" spans="1:126" outlineLevel="1" x14ac:dyDescent="0.3">
      <c r="C22" s="92" t="b">
        <v>0</v>
      </c>
      <c r="D22" s="84" t="str">
        <f>IF(C22=TRUE,4,"")</f>
        <v/>
      </c>
      <c r="E22" s="85" t="s">
        <v>24</v>
      </c>
      <c r="F22" s="100"/>
    </row>
    <row r="23" spans="1:126" s="3" customFormat="1" outlineLevel="1" x14ac:dyDescent="0.3">
      <c r="A23" s="8"/>
      <c r="B23" s="8"/>
      <c r="C23" s="92" t="b">
        <v>0</v>
      </c>
      <c r="D23" s="84" t="str">
        <f>IF(C23=TRUE,5,"")</f>
        <v/>
      </c>
      <c r="E23" s="85" t="s">
        <v>25</v>
      </c>
      <c r="F23" s="10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</row>
    <row r="24" spans="1:126" outlineLevel="1" x14ac:dyDescent="0.3">
      <c r="C24" s="94"/>
      <c r="D24" s="82">
        <f>SUM(D25:D29)</f>
        <v>5</v>
      </c>
      <c r="E24" s="83" t="s">
        <v>26</v>
      </c>
      <c r="F24" s="100"/>
    </row>
    <row r="25" spans="1:126" outlineLevel="1" x14ac:dyDescent="0.3">
      <c r="C25" s="92" t="b">
        <v>0</v>
      </c>
      <c r="D25" s="84" t="str">
        <f>IF(C25=TRUE,1,"")</f>
        <v/>
      </c>
      <c r="E25" s="85" t="s">
        <v>27</v>
      </c>
      <c r="F25" s="100"/>
    </row>
    <row r="26" spans="1:126" outlineLevel="1" x14ac:dyDescent="0.3">
      <c r="C26" s="92" t="b">
        <v>0</v>
      </c>
      <c r="D26" s="84" t="str">
        <f>IF(C26=TRUE,2,"")</f>
        <v/>
      </c>
      <c r="E26" s="85" t="s">
        <v>28</v>
      </c>
      <c r="F26" s="100"/>
    </row>
    <row r="27" spans="1:126" outlineLevel="1" x14ac:dyDescent="0.3">
      <c r="C27" s="92" t="b">
        <v>0</v>
      </c>
      <c r="D27" s="84" t="str">
        <f>IF(C27=TRUE,3,"")</f>
        <v/>
      </c>
      <c r="E27" s="85" t="s">
        <v>29</v>
      </c>
      <c r="F27" s="100"/>
    </row>
    <row r="28" spans="1:126" outlineLevel="1" x14ac:dyDescent="0.3">
      <c r="C28" s="92" t="b">
        <v>0</v>
      </c>
      <c r="D28" s="84" t="str">
        <f>IF(C28=TRUE,4,"")</f>
        <v/>
      </c>
      <c r="E28" s="85" t="s">
        <v>30</v>
      </c>
      <c r="F28" s="100"/>
    </row>
    <row r="29" spans="1:126" s="3" customFormat="1" outlineLevel="1" x14ac:dyDescent="0.3">
      <c r="A29" s="8"/>
      <c r="B29" s="8"/>
      <c r="C29" s="92" t="b">
        <v>1</v>
      </c>
      <c r="D29" s="84">
        <f>IF(C29=TRUE,5,"")</f>
        <v>5</v>
      </c>
      <c r="E29" s="85" t="s">
        <v>31</v>
      </c>
      <c r="F29" s="10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</row>
    <row r="30" spans="1:126" outlineLevel="1" x14ac:dyDescent="0.3">
      <c r="C30" s="94"/>
      <c r="D30" s="82">
        <f>SUM(D31:D35)</f>
        <v>4</v>
      </c>
      <c r="E30" s="83" t="s">
        <v>32</v>
      </c>
      <c r="F30" s="100"/>
    </row>
    <row r="31" spans="1:126" outlineLevel="1" x14ac:dyDescent="0.3">
      <c r="C31" s="92" t="b">
        <v>0</v>
      </c>
      <c r="D31" s="84" t="str">
        <f>IF(C31=TRUE,1,"")</f>
        <v/>
      </c>
      <c r="E31" s="85" t="s">
        <v>33</v>
      </c>
      <c r="F31" s="100"/>
    </row>
    <row r="32" spans="1:126" outlineLevel="1" x14ac:dyDescent="0.3">
      <c r="C32" s="92" t="b">
        <v>0</v>
      </c>
      <c r="D32" s="84" t="str">
        <f>IF(C32=TRUE,2,"")</f>
        <v/>
      </c>
      <c r="E32" s="85" t="s">
        <v>34</v>
      </c>
      <c r="F32" s="100"/>
    </row>
    <row r="33" spans="1:126" outlineLevel="1" x14ac:dyDescent="0.3">
      <c r="C33" s="92" t="b">
        <v>0</v>
      </c>
      <c r="D33" s="84" t="str">
        <f>IF(C33=TRUE,3,"")</f>
        <v/>
      </c>
      <c r="E33" s="85" t="s">
        <v>35</v>
      </c>
      <c r="F33" s="100"/>
    </row>
    <row r="34" spans="1:126" outlineLevel="1" x14ac:dyDescent="0.3">
      <c r="C34" s="92" t="b">
        <v>1</v>
      </c>
      <c r="D34" s="84">
        <f>IF(C34=TRUE,4,"")</f>
        <v>4</v>
      </c>
      <c r="E34" s="85" t="s">
        <v>36</v>
      </c>
      <c r="F34" s="100"/>
    </row>
    <row r="35" spans="1:126" s="2" customFormat="1" ht="18" x14ac:dyDescent="0.35">
      <c r="A35" s="10"/>
      <c r="B35" s="10"/>
      <c r="C35" s="92" t="b">
        <v>0</v>
      </c>
      <c r="D35" s="84" t="str">
        <f>IF(C35=TRUE,5,"")</f>
        <v/>
      </c>
      <c r="E35" s="85" t="s">
        <v>37</v>
      </c>
      <c r="F35" s="10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</row>
    <row r="36" spans="1:126" s="12" customFormat="1" ht="18" x14ac:dyDescent="0.35">
      <c r="C36" s="95" t="s">
        <v>38</v>
      </c>
      <c r="D36" s="86">
        <f>AVERAGE(D38,D44,D50,D56,D62)</f>
        <v>3</v>
      </c>
      <c r="E36" s="87" t="s">
        <v>39</v>
      </c>
      <c r="F36" s="102"/>
    </row>
    <row r="37" spans="1:126" s="3" customFormat="1" ht="18.600000000000001" outlineLevel="1" thickBot="1" x14ac:dyDescent="0.35">
      <c r="A37" s="8"/>
      <c r="B37" s="8"/>
      <c r="C37" s="96"/>
      <c r="D37" s="80"/>
      <c r="E37" s="88" t="s">
        <v>40</v>
      </c>
      <c r="F37" s="10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</row>
    <row r="38" spans="1:126" outlineLevel="1" x14ac:dyDescent="0.3">
      <c r="C38" s="94"/>
      <c r="D38" s="82">
        <f>SUM(D39:D43)</f>
        <v>2</v>
      </c>
      <c r="E38" s="83" t="s">
        <v>41</v>
      </c>
      <c r="F38" s="100"/>
    </row>
    <row r="39" spans="1:126" outlineLevel="1" x14ac:dyDescent="0.3">
      <c r="C39" s="92" t="b">
        <v>0</v>
      </c>
      <c r="D39" s="84" t="str">
        <f>IF(C39=TRUE,1,"")</f>
        <v/>
      </c>
      <c r="E39" s="85" t="s">
        <v>42</v>
      </c>
      <c r="F39" s="100"/>
    </row>
    <row r="40" spans="1:126" outlineLevel="1" x14ac:dyDescent="0.3">
      <c r="C40" s="92" t="b">
        <v>1</v>
      </c>
      <c r="D40" s="84">
        <f>IF(C40=TRUE,2,"")</f>
        <v>2</v>
      </c>
      <c r="E40" s="85" t="s">
        <v>43</v>
      </c>
      <c r="F40" s="100"/>
    </row>
    <row r="41" spans="1:126" outlineLevel="1" x14ac:dyDescent="0.3">
      <c r="C41" s="92" t="b">
        <v>0</v>
      </c>
      <c r="D41" s="84" t="str">
        <f>IF(C41=TRUE,3,"")</f>
        <v/>
      </c>
      <c r="E41" s="85" t="s">
        <v>44</v>
      </c>
      <c r="F41" s="100"/>
    </row>
    <row r="42" spans="1:126" outlineLevel="1" x14ac:dyDescent="0.3">
      <c r="C42" s="92" t="b">
        <v>0</v>
      </c>
      <c r="D42" s="84" t="str">
        <f>IF(C42=TRUE,4,"")</f>
        <v/>
      </c>
      <c r="E42" s="85" t="s">
        <v>45</v>
      </c>
      <c r="F42" s="100"/>
    </row>
    <row r="43" spans="1:126" s="3" customFormat="1" outlineLevel="1" x14ac:dyDescent="0.3">
      <c r="A43" s="8"/>
      <c r="B43" s="8"/>
      <c r="C43" s="92" t="b">
        <v>0</v>
      </c>
      <c r="D43" s="84" t="str">
        <f>IF(C43=TRUE,5,"")</f>
        <v/>
      </c>
      <c r="E43" s="85" t="s">
        <v>46</v>
      </c>
      <c r="F43" s="10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</row>
    <row r="44" spans="1:126" outlineLevel="1" x14ac:dyDescent="0.3">
      <c r="C44" s="94"/>
      <c r="D44" s="82">
        <f>SUM(D45:D49)</f>
        <v>3</v>
      </c>
      <c r="E44" s="83" t="s">
        <v>47</v>
      </c>
      <c r="F44" s="100"/>
    </row>
    <row r="45" spans="1:126" outlineLevel="1" x14ac:dyDescent="0.3">
      <c r="C45" s="92" t="b">
        <v>0</v>
      </c>
      <c r="D45" s="84" t="str">
        <f>IF(C45=TRUE,1,"")</f>
        <v/>
      </c>
      <c r="E45" s="85" t="s">
        <v>48</v>
      </c>
      <c r="F45" s="100"/>
    </row>
    <row r="46" spans="1:126" outlineLevel="1" x14ac:dyDescent="0.3">
      <c r="C46" s="92" t="b">
        <v>0</v>
      </c>
      <c r="D46" s="84" t="str">
        <f>IF(C46=TRUE,2,"")</f>
        <v/>
      </c>
      <c r="E46" s="85" t="s">
        <v>49</v>
      </c>
      <c r="F46" s="100"/>
    </row>
    <row r="47" spans="1:126" outlineLevel="1" x14ac:dyDescent="0.3">
      <c r="C47" s="92" t="b">
        <v>1</v>
      </c>
      <c r="D47" s="84">
        <f>IF(C47=TRUE,3,"")</f>
        <v>3</v>
      </c>
      <c r="E47" s="85" t="s">
        <v>50</v>
      </c>
      <c r="F47" s="100"/>
    </row>
    <row r="48" spans="1:126" outlineLevel="1" x14ac:dyDescent="0.3">
      <c r="C48" s="92" t="b">
        <v>0</v>
      </c>
      <c r="D48" s="84" t="str">
        <f>IF(C48=TRUE,4,"")</f>
        <v/>
      </c>
      <c r="E48" s="85" t="s">
        <v>51</v>
      </c>
      <c r="F48" s="100"/>
    </row>
    <row r="49" spans="1:126" s="3" customFormat="1" outlineLevel="1" x14ac:dyDescent="0.3">
      <c r="A49" s="8"/>
      <c r="B49" s="8"/>
      <c r="C49" s="92" t="b">
        <v>0</v>
      </c>
      <c r="D49" s="84" t="str">
        <f>IF(C49=TRUE,5,"")</f>
        <v/>
      </c>
      <c r="E49" s="85" t="s">
        <v>52</v>
      </c>
      <c r="F49" s="10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</row>
    <row r="50" spans="1:126" outlineLevel="1" x14ac:dyDescent="0.3">
      <c r="C50" s="94"/>
      <c r="D50" s="82">
        <f>SUM(D51:D55)</f>
        <v>4</v>
      </c>
      <c r="E50" s="83" t="s">
        <v>53</v>
      </c>
      <c r="F50" s="100"/>
    </row>
    <row r="51" spans="1:126" outlineLevel="1" x14ac:dyDescent="0.3">
      <c r="C51" s="92" t="b">
        <v>0</v>
      </c>
      <c r="D51" s="84" t="str">
        <f>IF(C51=TRUE,1,"")</f>
        <v/>
      </c>
      <c r="E51" s="85" t="s">
        <v>54</v>
      </c>
      <c r="F51" s="100"/>
    </row>
    <row r="52" spans="1:126" outlineLevel="1" x14ac:dyDescent="0.3">
      <c r="C52" s="92" t="b">
        <v>0</v>
      </c>
      <c r="D52" s="84" t="str">
        <f>IF(C52=TRUE,2,"")</f>
        <v/>
      </c>
      <c r="E52" s="85" t="s">
        <v>55</v>
      </c>
      <c r="F52" s="100"/>
    </row>
    <row r="53" spans="1:126" outlineLevel="1" x14ac:dyDescent="0.3">
      <c r="C53" s="92" t="b">
        <v>0</v>
      </c>
      <c r="D53" s="84" t="str">
        <f>IF(C53=TRUE,3,"")</f>
        <v/>
      </c>
      <c r="E53" s="85" t="s">
        <v>56</v>
      </c>
      <c r="F53" s="100"/>
    </row>
    <row r="54" spans="1:126" outlineLevel="1" x14ac:dyDescent="0.3">
      <c r="C54" s="92" t="b">
        <v>1</v>
      </c>
      <c r="D54" s="84">
        <f>IF(C54=TRUE,4,"")</f>
        <v>4</v>
      </c>
      <c r="E54" s="85" t="s">
        <v>57</v>
      </c>
      <c r="F54" s="100"/>
    </row>
    <row r="55" spans="1:126" s="3" customFormat="1" outlineLevel="1" x14ac:dyDescent="0.3">
      <c r="A55" s="8"/>
      <c r="B55" s="8"/>
      <c r="C55" s="92" t="b">
        <v>0</v>
      </c>
      <c r="D55" s="84" t="str">
        <f>IF(C55=TRUE,5,"")</f>
        <v/>
      </c>
      <c r="E55" s="85" t="s">
        <v>58</v>
      </c>
      <c r="F55" s="10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</row>
    <row r="56" spans="1:126" outlineLevel="1" x14ac:dyDescent="0.3">
      <c r="C56" s="94"/>
      <c r="D56" s="82">
        <f>SUM(D57:D61)</f>
        <v>4</v>
      </c>
      <c r="E56" s="83" t="s">
        <v>59</v>
      </c>
      <c r="F56" s="100"/>
    </row>
    <row r="57" spans="1:126" outlineLevel="1" x14ac:dyDescent="0.3">
      <c r="C57" s="92" t="b">
        <v>0</v>
      </c>
      <c r="D57" s="84" t="str">
        <f>IF(C57=TRUE,1,"")</f>
        <v/>
      </c>
      <c r="E57" s="85" t="s">
        <v>60</v>
      </c>
      <c r="F57" s="100"/>
    </row>
    <row r="58" spans="1:126" outlineLevel="1" x14ac:dyDescent="0.3">
      <c r="C58" s="92" t="b">
        <v>0</v>
      </c>
      <c r="D58" s="84" t="str">
        <f>IF(C58=TRUE,2,"")</f>
        <v/>
      </c>
      <c r="E58" s="85" t="s">
        <v>61</v>
      </c>
      <c r="F58" s="100"/>
    </row>
    <row r="59" spans="1:126" outlineLevel="1" x14ac:dyDescent="0.3">
      <c r="C59" s="92" t="b">
        <v>0</v>
      </c>
      <c r="D59" s="84" t="str">
        <f>IF(C59=TRUE,3,"")</f>
        <v/>
      </c>
      <c r="E59" s="85" t="s">
        <v>62</v>
      </c>
      <c r="F59" s="100"/>
    </row>
    <row r="60" spans="1:126" outlineLevel="1" x14ac:dyDescent="0.3">
      <c r="C60" s="92" t="b">
        <v>1</v>
      </c>
      <c r="D60" s="84">
        <f>IF(C60=TRUE,4,"")</f>
        <v>4</v>
      </c>
      <c r="E60" s="85" t="s">
        <v>63</v>
      </c>
      <c r="F60" s="100"/>
    </row>
    <row r="61" spans="1:126" s="3" customFormat="1" outlineLevel="1" x14ac:dyDescent="0.3">
      <c r="A61" s="8"/>
      <c r="B61" s="8"/>
      <c r="C61" s="92" t="b">
        <v>0</v>
      </c>
      <c r="D61" s="84" t="str">
        <f>IF(C61=TRUE,5,"")</f>
        <v/>
      </c>
      <c r="E61" s="85" t="s">
        <v>64</v>
      </c>
      <c r="F61" s="10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</row>
    <row r="62" spans="1:126" outlineLevel="1" x14ac:dyDescent="0.3">
      <c r="C62" s="94"/>
      <c r="D62" s="82">
        <f>SUM(D63:D67)</f>
        <v>2</v>
      </c>
      <c r="E62" s="83" t="s">
        <v>65</v>
      </c>
      <c r="F62" s="100"/>
    </row>
    <row r="63" spans="1:126" outlineLevel="1" x14ac:dyDescent="0.3">
      <c r="C63" s="92" t="b">
        <v>0</v>
      </c>
      <c r="D63" s="84" t="str">
        <f>IF(C63=TRUE,1,"")</f>
        <v/>
      </c>
      <c r="E63" s="85" t="s">
        <v>66</v>
      </c>
      <c r="F63" s="100"/>
    </row>
    <row r="64" spans="1:126" outlineLevel="1" x14ac:dyDescent="0.3">
      <c r="C64" s="92" t="b">
        <v>1</v>
      </c>
      <c r="D64" s="84">
        <f>IF(C64=TRUE,2,"")</f>
        <v>2</v>
      </c>
      <c r="E64" s="85" t="s">
        <v>67</v>
      </c>
      <c r="F64" s="100"/>
    </row>
    <row r="65" spans="1:126" outlineLevel="1" x14ac:dyDescent="0.3">
      <c r="C65" s="92" t="b">
        <v>0</v>
      </c>
      <c r="D65" s="84" t="str">
        <f>IF(C65=TRUE,3,"")</f>
        <v/>
      </c>
      <c r="E65" s="85" t="s">
        <v>68</v>
      </c>
      <c r="F65" s="100"/>
    </row>
    <row r="66" spans="1:126" outlineLevel="1" x14ac:dyDescent="0.3">
      <c r="C66" s="92" t="b">
        <v>0</v>
      </c>
      <c r="D66" s="84" t="str">
        <f>IF(C66=TRUE,4,"")</f>
        <v/>
      </c>
      <c r="E66" s="85" t="s">
        <v>69</v>
      </c>
      <c r="F66" s="100"/>
    </row>
    <row r="67" spans="1:126" s="2" customFormat="1" ht="18" x14ac:dyDescent="0.35">
      <c r="A67" s="10"/>
      <c r="B67" s="10"/>
      <c r="C67" s="92" t="b">
        <v>0</v>
      </c>
      <c r="D67" s="84" t="str">
        <f>IF(C67=TRUE,5,"")</f>
        <v/>
      </c>
      <c r="E67" s="85" t="s">
        <v>70</v>
      </c>
      <c r="F67" s="10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</row>
    <row r="68" spans="1:126" s="12" customFormat="1" ht="18" x14ac:dyDescent="0.35">
      <c r="C68" s="95" t="s">
        <v>71</v>
      </c>
      <c r="D68" s="86">
        <f>AVERAGE(D70,D76,D82,D88,D94)</f>
        <v>1.8</v>
      </c>
      <c r="E68" s="87" t="s">
        <v>72</v>
      </c>
      <c r="F68" s="102"/>
    </row>
    <row r="69" spans="1:126" s="3" customFormat="1" ht="15" outlineLevel="1" thickBot="1" x14ac:dyDescent="0.35">
      <c r="A69" s="8"/>
      <c r="B69" s="8"/>
      <c r="C69" s="96"/>
      <c r="D69" s="89"/>
      <c r="E69" s="88" t="s">
        <v>73</v>
      </c>
      <c r="F69" s="10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</row>
    <row r="70" spans="1:126" outlineLevel="1" x14ac:dyDescent="0.3">
      <c r="C70" s="94"/>
      <c r="D70" s="82">
        <f>SUM(D71:D75)</f>
        <v>2</v>
      </c>
      <c r="E70" s="83" t="s">
        <v>74</v>
      </c>
      <c r="F70" s="100"/>
    </row>
    <row r="71" spans="1:126" outlineLevel="1" x14ac:dyDescent="0.3">
      <c r="C71" s="92" t="b">
        <v>0</v>
      </c>
      <c r="D71" s="84" t="str">
        <f>IF(C71=TRUE,1,"")</f>
        <v/>
      </c>
      <c r="E71" s="85" t="s">
        <v>75</v>
      </c>
      <c r="F71" s="100"/>
    </row>
    <row r="72" spans="1:126" outlineLevel="1" x14ac:dyDescent="0.3">
      <c r="C72" s="92" t="b">
        <v>1</v>
      </c>
      <c r="D72" s="84">
        <f>IF(C72=TRUE,2,"")</f>
        <v>2</v>
      </c>
      <c r="E72" s="85" t="s">
        <v>76</v>
      </c>
      <c r="F72" s="100"/>
    </row>
    <row r="73" spans="1:126" outlineLevel="1" x14ac:dyDescent="0.3">
      <c r="C73" s="92" t="b">
        <v>0</v>
      </c>
      <c r="D73" s="84" t="str">
        <f>IF(C73=TRUE,3,"")</f>
        <v/>
      </c>
      <c r="E73" s="85" t="s">
        <v>77</v>
      </c>
      <c r="F73" s="100"/>
    </row>
    <row r="74" spans="1:126" outlineLevel="1" x14ac:dyDescent="0.3">
      <c r="C74" s="92" t="b">
        <v>0</v>
      </c>
      <c r="D74" s="84" t="str">
        <f>IF(C74=TRUE,4,"")</f>
        <v/>
      </c>
      <c r="E74" s="85" t="s">
        <v>78</v>
      </c>
      <c r="F74" s="100"/>
    </row>
    <row r="75" spans="1:126" s="3" customFormat="1" outlineLevel="1" x14ac:dyDescent="0.3">
      <c r="A75" s="8"/>
      <c r="B75" s="8"/>
      <c r="C75" s="92" t="b">
        <v>0</v>
      </c>
      <c r="D75" s="84" t="str">
        <f>IF(C75=TRUE,5,"")</f>
        <v/>
      </c>
      <c r="E75" s="85" t="s">
        <v>79</v>
      </c>
      <c r="F75" s="10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</row>
    <row r="76" spans="1:126" outlineLevel="1" x14ac:dyDescent="0.3">
      <c r="C76" s="94"/>
      <c r="D76" s="82">
        <f>SUM(D77:D81)</f>
        <v>2</v>
      </c>
      <c r="E76" s="83" t="s">
        <v>80</v>
      </c>
      <c r="F76" s="100"/>
    </row>
    <row r="77" spans="1:126" outlineLevel="1" x14ac:dyDescent="0.3">
      <c r="C77" s="92" t="b">
        <v>0</v>
      </c>
      <c r="D77" s="84" t="str">
        <f>IF(C77=TRUE,1,"")</f>
        <v/>
      </c>
      <c r="E77" s="85" t="s">
        <v>81</v>
      </c>
      <c r="F77" s="100"/>
    </row>
    <row r="78" spans="1:126" outlineLevel="1" x14ac:dyDescent="0.3">
      <c r="C78" s="92" t="b">
        <v>1</v>
      </c>
      <c r="D78" s="84">
        <f>IF(C78=TRUE,2,"")</f>
        <v>2</v>
      </c>
      <c r="E78" s="85" t="s">
        <v>82</v>
      </c>
      <c r="F78" s="100"/>
    </row>
    <row r="79" spans="1:126" outlineLevel="1" x14ac:dyDescent="0.3">
      <c r="C79" s="92" t="b">
        <v>0</v>
      </c>
      <c r="D79" s="84" t="str">
        <f>IF(C79=TRUE,3,"")</f>
        <v/>
      </c>
      <c r="E79" s="85" t="s">
        <v>83</v>
      </c>
      <c r="F79" s="100"/>
    </row>
    <row r="80" spans="1:126" outlineLevel="1" x14ac:dyDescent="0.3">
      <c r="C80" s="92" t="b">
        <v>0</v>
      </c>
      <c r="D80" s="84" t="str">
        <f>IF(C80=TRUE,4,"")</f>
        <v/>
      </c>
      <c r="E80" s="85" t="s">
        <v>84</v>
      </c>
      <c r="F80" s="100"/>
    </row>
    <row r="81" spans="1:126" s="3" customFormat="1" outlineLevel="1" x14ac:dyDescent="0.3">
      <c r="A81" s="8"/>
      <c r="B81" s="8"/>
      <c r="C81" s="92" t="b">
        <v>0</v>
      </c>
      <c r="D81" s="84" t="str">
        <f>IF(C81=TRUE,5,"")</f>
        <v/>
      </c>
      <c r="E81" s="85" t="s">
        <v>85</v>
      </c>
      <c r="F81" s="10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</row>
    <row r="82" spans="1:126" outlineLevel="1" x14ac:dyDescent="0.3">
      <c r="C82" s="94"/>
      <c r="D82" s="82">
        <f>SUM(D83:D87)</f>
        <v>2</v>
      </c>
      <c r="E82" s="83" t="s">
        <v>86</v>
      </c>
      <c r="F82" s="100"/>
    </row>
    <row r="83" spans="1:126" outlineLevel="1" x14ac:dyDescent="0.3">
      <c r="C83" s="92" t="b">
        <v>0</v>
      </c>
      <c r="D83" s="84" t="str">
        <f>IF(C83=TRUE,1,"")</f>
        <v/>
      </c>
      <c r="E83" s="85" t="s">
        <v>87</v>
      </c>
      <c r="F83" s="100"/>
    </row>
    <row r="84" spans="1:126" outlineLevel="1" x14ac:dyDescent="0.3">
      <c r="C84" s="92" t="b">
        <v>1</v>
      </c>
      <c r="D84" s="84">
        <f>IF(C84=TRUE,2,"")</f>
        <v>2</v>
      </c>
      <c r="E84" s="85" t="s">
        <v>88</v>
      </c>
      <c r="F84" s="100"/>
    </row>
    <row r="85" spans="1:126" outlineLevel="1" x14ac:dyDescent="0.3">
      <c r="C85" s="92" t="b">
        <v>0</v>
      </c>
      <c r="D85" s="84" t="str">
        <f>IF(C85=TRUE,3,"")</f>
        <v/>
      </c>
      <c r="E85" s="85" t="s">
        <v>89</v>
      </c>
      <c r="F85" s="100"/>
    </row>
    <row r="86" spans="1:126" outlineLevel="1" x14ac:dyDescent="0.3">
      <c r="C86" s="92" t="b">
        <v>0</v>
      </c>
      <c r="D86" s="84" t="str">
        <f>IF(C86=TRUE,4,"")</f>
        <v/>
      </c>
      <c r="E86" s="85" t="s">
        <v>90</v>
      </c>
      <c r="F86" s="100"/>
    </row>
    <row r="87" spans="1:126" s="3" customFormat="1" outlineLevel="1" x14ac:dyDescent="0.3">
      <c r="A87" s="8"/>
      <c r="B87" s="8"/>
      <c r="C87" s="92" t="b">
        <v>0</v>
      </c>
      <c r="D87" s="84" t="str">
        <f>IF(C87=TRUE,5,"")</f>
        <v/>
      </c>
      <c r="E87" s="85" t="s">
        <v>91</v>
      </c>
      <c r="F87" s="10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</row>
    <row r="88" spans="1:126" outlineLevel="1" x14ac:dyDescent="0.3">
      <c r="C88" s="94"/>
      <c r="D88" s="82">
        <f>SUM(D89:D93)</f>
        <v>2</v>
      </c>
      <c r="E88" s="83" t="s">
        <v>92</v>
      </c>
      <c r="F88" s="100"/>
    </row>
    <row r="89" spans="1:126" outlineLevel="1" x14ac:dyDescent="0.3">
      <c r="C89" s="92" t="b">
        <v>0</v>
      </c>
      <c r="D89" s="84" t="str">
        <f>IF(C89=TRUE,1,"")</f>
        <v/>
      </c>
      <c r="E89" s="85" t="s">
        <v>93</v>
      </c>
      <c r="F89" s="100"/>
    </row>
    <row r="90" spans="1:126" outlineLevel="1" x14ac:dyDescent="0.3">
      <c r="C90" s="92" t="b">
        <v>1</v>
      </c>
      <c r="D90" s="84">
        <f>IF(C90=TRUE,2,"")</f>
        <v>2</v>
      </c>
      <c r="E90" s="85" t="s">
        <v>94</v>
      </c>
      <c r="F90" s="100"/>
    </row>
    <row r="91" spans="1:126" outlineLevel="1" x14ac:dyDescent="0.3">
      <c r="C91" s="92" t="b">
        <v>0</v>
      </c>
      <c r="D91" s="84" t="str">
        <f>IF(C91=TRUE,3,"")</f>
        <v/>
      </c>
      <c r="E91" s="85" t="s">
        <v>95</v>
      </c>
      <c r="F91" s="100"/>
    </row>
    <row r="92" spans="1:126" outlineLevel="1" x14ac:dyDescent="0.3">
      <c r="C92" s="92" t="b">
        <v>0</v>
      </c>
      <c r="D92" s="84" t="str">
        <f>IF(C92=TRUE,4,"")</f>
        <v/>
      </c>
      <c r="E92" s="85" t="s">
        <v>96</v>
      </c>
      <c r="F92" s="100"/>
    </row>
    <row r="93" spans="1:126" s="3" customFormat="1" outlineLevel="1" x14ac:dyDescent="0.3">
      <c r="A93" s="8"/>
      <c r="B93" s="8"/>
      <c r="C93" s="92" t="b">
        <v>0</v>
      </c>
      <c r="D93" s="84" t="str">
        <f>IF(C93=TRUE,5,"")</f>
        <v/>
      </c>
      <c r="E93" s="85" t="s">
        <v>97</v>
      </c>
      <c r="F93" s="10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</row>
    <row r="94" spans="1:126" outlineLevel="1" x14ac:dyDescent="0.3">
      <c r="C94" s="94"/>
      <c r="D94" s="82">
        <f>SUM(D95:D99)</f>
        <v>1</v>
      </c>
      <c r="E94" s="83" t="s">
        <v>98</v>
      </c>
      <c r="F94" s="100"/>
    </row>
    <row r="95" spans="1:126" outlineLevel="1" x14ac:dyDescent="0.3">
      <c r="C95" s="92" t="b">
        <v>1</v>
      </c>
      <c r="D95" s="84">
        <f>IF(C95=TRUE,1,"")</f>
        <v>1</v>
      </c>
      <c r="E95" s="85" t="s">
        <v>99</v>
      </c>
      <c r="F95" s="100"/>
    </row>
    <row r="96" spans="1:126" outlineLevel="1" x14ac:dyDescent="0.3">
      <c r="C96" s="92" t="b">
        <v>0</v>
      </c>
      <c r="D96" s="84" t="str">
        <f>IF(C96=TRUE,2,"")</f>
        <v/>
      </c>
      <c r="E96" s="85" t="s">
        <v>100</v>
      </c>
      <c r="F96" s="100"/>
    </row>
    <row r="97" spans="1:126" outlineLevel="1" x14ac:dyDescent="0.3">
      <c r="C97" s="92" t="b">
        <v>0</v>
      </c>
      <c r="D97" s="84" t="str">
        <f>IF(C97=TRUE,3,"")</f>
        <v/>
      </c>
      <c r="E97" s="85" t="s">
        <v>101</v>
      </c>
      <c r="F97" s="100"/>
    </row>
    <row r="98" spans="1:126" outlineLevel="1" x14ac:dyDescent="0.3">
      <c r="C98" s="92" t="b">
        <v>0</v>
      </c>
      <c r="D98" s="84" t="str">
        <f>IF(C98=TRUE,4,"")</f>
        <v/>
      </c>
      <c r="E98" s="85" t="s">
        <v>102</v>
      </c>
      <c r="F98" s="100"/>
    </row>
    <row r="99" spans="1:126" s="2" customFormat="1" ht="18" x14ac:dyDescent="0.35">
      <c r="A99" s="10"/>
      <c r="B99" s="10"/>
      <c r="C99" s="92" t="b">
        <v>0</v>
      </c>
      <c r="D99" s="84" t="str">
        <f>IF(C99=TRUE,5,"")</f>
        <v/>
      </c>
      <c r="E99" s="85" t="s">
        <v>103</v>
      </c>
      <c r="F99" s="10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</row>
    <row r="100" spans="1:126" s="12" customFormat="1" ht="18" x14ac:dyDescent="0.35">
      <c r="C100" s="95" t="s">
        <v>104</v>
      </c>
      <c r="D100" s="86">
        <f>AVERAGE(D102,D108,D114,D120,D126)</f>
        <v>2.6</v>
      </c>
      <c r="E100" s="87" t="s">
        <v>105</v>
      </c>
      <c r="F100" s="102"/>
    </row>
    <row r="101" spans="1:126" s="3" customFormat="1" ht="15" outlineLevel="1" thickBot="1" x14ac:dyDescent="0.35">
      <c r="A101" s="8"/>
      <c r="B101" s="8"/>
      <c r="C101" s="96"/>
      <c r="D101" s="89"/>
      <c r="E101" s="88" t="s">
        <v>106</v>
      </c>
      <c r="F101" s="10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</row>
    <row r="102" spans="1:126" outlineLevel="1" x14ac:dyDescent="0.3">
      <c r="C102" s="94"/>
      <c r="D102" s="82">
        <f>SUM(D103:D107)</f>
        <v>3</v>
      </c>
      <c r="E102" s="83" t="s">
        <v>107</v>
      </c>
      <c r="F102" s="100"/>
    </row>
    <row r="103" spans="1:126" outlineLevel="1" x14ac:dyDescent="0.3">
      <c r="C103" s="92" t="b">
        <v>0</v>
      </c>
      <c r="D103" s="84" t="str">
        <f>IF(C103=TRUE,1,"")</f>
        <v/>
      </c>
      <c r="E103" s="85" t="s">
        <v>108</v>
      </c>
      <c r="F103" s="100"/>
    </row>
    <row r="104" spans="1:126" outlineLevel="1" x14ac:dyDescent="0.3">
      <c r="C104" s="92" t="b">
        <v>0</v>
      </c>
      <c r="D104" s="84" t="str">
        <f>IF(C104=TRUE,2,"")</f>
        <v/>
      </c>
      <c r="E104" s="85" t="s">
        <v>109</v>
      </c>
      <c r="F104" s="100"/>
    </row>
    <row r="105" spans="1:126" outlineLevel="1" x14ac:dyDescent="0.3">
      <c r="C105" s="92" t="b">
        <v>1</v>
      </c>
      <c r="D105" s="84">
        <f>IF(C105=TRUE,3,"")</f>
        <v>3</v>
      </c>
      <c r="E105" s="85" t="s">
        <v>110</v>
      </c>
      <c r="F105" s="100"/>
    </row>
    <row r="106" spans="1:126" outlineLevel="1" x14ac:dyDescent="0.3">
      <c r="C106" s="92" t="b">
        <v>0</v>
      </c>
      <c r="D106" s="84" t="str">
        <f>IF(C106=TRUE,4,"")</f>
        <v/>
      </c>
      <c r="E106" s="85" t="s">
        <v>111</v>
      </c>
      <c r="F106" s="100"/>
    </row>
    <row r="107" spans="1:126" s="3" customFormat="1" outlineLevel="1" x14ac:dyDescent="0.3">
      <c r="A107" s="8"/>
      <c r="B107" s="8"/>
      <c r="C107" s="92" t="b">
        <v>0</v>
      </c>
      <c r="D107" s="84" t="str">
        <f>IF(C107=TRUE,5,"")</f>
        <v/>
      </c>
      <c r="E107" s="85" t="s">
        <v>112</v>
      </c>
      <c r="F107" s="10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</row>
    <row r="108" spans="1:126" outlineLevel="1" x14ac:dyDescent="0.3">
      <c r="C108" s="94"/>
      <c r="D108" s="82">
        <f>SUM(D109:D113)</f>
        <v>3</v>
      </c>
      <c r="E108" s="83" t="s">
        <v>113</v>
      </c>
      <c r="F108" s="100"/>
    </row>
    <row r="109" spans="1:126" outlineLevel="1" x14ac:dyDescent="0.3">
      <c r="C109" s="92" t="b">
        <v>0</v>
      </c>
      <c r="D109" s="84" t="str">
        <f>IF(C109=TRUE,1,"")</f>
        <v/>
      </c>
      <c r="E109" s="85" t="s">
        <v>114</v>
      </c>
      <c r="F109" s="100"/>
    </row>
    <row r="110" spans="1:126" outlineLevel="1" x14ac:dyDescent="0.3">
      <c r="C110" s="92" t="b">
        <v>0</v>
      </c>
      <c r="D110" s="84" t="str">
        <f>IF(C110=TRUE,2,"")</f>
        <v/>
      </c>
      <c r="E110" s="85" t="s">
        <v>115</v>
      </c>
      <c r="F110" s="100"/>
    </row>
    <row r="111" spans="1:126" outlineLevel="1" x14ac:dyDescent="0.3">
      <c r="C111" s="92" t="b">
        <v>1</v>
      </c>
      <c r="D111" s="84">
        <f>IF(C111=TRUE,3,"")</f>
        <v>3</v>
      </c>
      <c r="E111" s="85" t="s">
        <v>116</v>
      </c>
      <c r="F111" s="100"/>
    </row>
    <row r="112" spans="1:126" outlineLevel="1" x14ac:dyDescent="0.3">
      <c r="C112" s="92" t="b">
        <v>0</v>
      </c>
      <c r="D112" s="84" t="str">
        <f>IF(C112=TRUE,4,"")</f>
        <v/>
      </c>
      <c r="E112" s="85" t="s">
        <v>117</v>
      </c>
      <c r="F112" s="100"/>
    </row>
    <row r="113" spans="1:126" s="3" customFormat="1" outlineLevel="1" x14ac:dyDescent="0.3">
      <c r="A113" s="8"/>
      <c r="B113" s="8"/>
      <c r="C113" s="92" t="b">
        <v>0</v>
      </c>
      <c r="D113" s="84" t="str">
        <f>IF(C113=TRUE,5,"")</f>
        <v/>
      </c>
      <c r="E113" s="85" t="s">
        <v>118</v>
      </c>
      <c r="F113" s="10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</row>
    <row r="114" spans="1:126" outlineLevel="1" x14ac:dyDescent="0.3">
      <c r="C114" s="94"/>
      <c r="D114" s="82">
        <f>SUM(D115:D119)</f>
        <v>2</v>
      </c>
      <c r="E114" s="83" t="s">
        <v>119</v>
      </c>
      <c r="F114" s="100"/>
    </row>
    <row r="115" spans="1:126" outlineLevel="1" x14ac:dyDescent="0.3">
      <c r="C115" s="92" t="b">
        <v>0</v>
      </c>
      <c r="D115" s="84" t="str">
        <f>IF(C115=TRUE,1,"")</f>
        <v/>
      </c>
      <c r="E115" s="85" t="s">
        <v>120</v>
      </c>
      <c r="F115" s="100"/>
    </row>
    <row r="116" spans="1:126" outlineLevel="1" x14ac:dyDescent="0.3">
      <c r="C116" s="92" t="b">
        <v>1</v>
      </c>
      <c r="D116" s="84">
        <f>IF(C116=TRUE,2,"")</f>
        <v>2</v>
      </c>
      <c r="E116" s="85" t="s">
        <v>121</v>
      </c>
      <c r="F116" s="100"/>
    </row>
    <row r="117" spans="1:126" outlineLevel="1" x14ac:dyDescent="0.3">
      <c r="C117" s="92" t="b">
        <v>0</v>
      </c>
      <c r="D117" s="84" t="str">
        <f>IF(C117=TRUE,3,"")</f>
        <v/>
      </c>
      <c r="E117" s="85" t="s">
        <v>122</v>
      </c>
      <c r="F117" s="100"/>
    </row>
    <row r="118" spans="1:126" outlineLevel="1" x14ac:dyDescent="0.3">
      <c r="C118" s="92" t="b">
        <v>0</v>
      </c>
      <c r="D118" s="84" t="str">
        <f>IF(C118=TRUE,4,"")</f>
        <v/>
      </c>
      <c r="E118" s="85" t="s">
        <v>123</v>
      </c>
      <c r="F118" s="100"/>
    </row>
    <row r="119" spans="1:126" s="3" customFormat="1" outlineLevel="1" x14ac:dyDescent="0.3">
      <c r="A119" s="8"/>
      <c r="B119" s="8"/>
      <c r="C119" s="92" t="b">
        <v>0</v>
      </c>
      <c r="D119" s="84" t="str">
        <f>IF(C119=TRUE,5,"")</f>
        <v/>
      </c>
      <c r="E119" s="85" t="s">
        <v>124</v>
      </c>
      <c r="F119" s="10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</row>
    <row r="120" spans="1:126" outlineLevel="1" x14ac:dyDescent="0.3">
      <c r="C120" s="94"/>
      <c r="D120" s="82">
        <f>SUM(D121:D125)</f>
        <v>3</v>
      </c>
      <c r="E120" s="83" t="s">
        <v>125</v>
      </c>
      <c r="F120" s="100"/>
    </row>
    <row r="121" spans="1:126" outlineLevel="1" x14ac:dyDescent="0.3">
      <c r="C121" s="92" t="b">
        <v>0</v>
      </c>
      <c r="D121" s="84" t="str">
        <f>IF(C121=TRUE,1,"")</f>
        <v/>
      </c>
      <c r="E121" s="85" t="s">
        <v>126</v>
      </c>
      <c r="F121" s="100"/>
    </row>
    <row r="122" spans="1:126" outlineLevel="1" x14ac:dyDescent="0.3">
      <c r="C122" s="92" t="b">
        <v>0</v>
      </c>
      <c r="D122" s="84" t="str">
        <f>IF(C122=TRUE,2,"")</f>
        <v/>
      </c>
      <c r="E122" s="85" t="s">
        <v>127</v>
      </c>
      <c r="F122" s="100"/>
    </row>
    <row r="123" spans="1:126" outlineLevel="1" x14ac:dyDescent="0.3">
      <c r="C123" s="92" t="b">
        <v>1</v>
      </c>
      <c r="D123" s="84">
        <f>IF(C123=TRUE,3,"")</f>
        <v>3</v>
      </c>
      <c r="E123" s="85" t="s">
        <v>128</v>
      </c>
      <c r="F123" s="100"/>
    </row>
    <row r="124" spans="1:126" outlineLevel="1" x14ac:dyDescent="0.3">
      <c r="C124" s="92" t="b">
        <v>0</v>
      </c>
      <c r="D124" s="84" t="str">
        <f>IF(C124=TRUE,4,"")</f>
        <v/>
      </c>
      <c r="E124" s="85" t="s">
        <v>129</v>
      </c>
      <c r="F124" s="100"/>
    </row>
    <row r="125" spans="1:126" s="3" customFormat="1" outlineLevel="1" x14ac:dyDescent="0.3">
      <c r="A125" s="8"/>
      <c r="B125" s="8"/>
      <c r="C125" s="92" t="b">
        <v>0</v>
      </c>
      <c r="D125" s="84" t="str">
        <f>IF(C125=TRUE,5,"")</f>
        <v/>
      </c>
      <c r="E125" s="85" t="s">
        <v>130</v>
      </c>
      <c r="F125" s="10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</row>
    <row r="126" spans="1:126" outlineLevel="1" x14ac:dyDescent="0.3">
      <c r="C126" s="94"/>
      <c r="D126" s="82">
        <f>SUM(D127:D131)</f>
        <v>2</v>
      </c>
      <c r="E126" s="83" t="s">
        <v>131</v>
      </c>
      <c r="F126" s="100"/>
    </row>
    <row r="127" spans="1:126" outlineLevel="1" x14ac:dyDescent="0.3">
      <c r="C127" s="92" t="b">
        <v>0</v>
      </c>
      <c r="D127" s="84" t="str">
        <f>IF(C127=TRUE,1,"")</f>
        <v/>
      </c>
      <c r="E127" s="85" t="s">
        <v>132</v>
      </c>
      <c r="F127" s="100"/>
    </row>
    <row r="128" spans="1:126" outlineLevel="1" x14ac:dyDescent="0.3">
      <c r="C128" s="92" t="b">
        <v>1</v>
      </c>
      <c r="D128" s="84">
        <f>IF(C128=TRUE,2,"")</f>
        <v>2</v>
      </c>
      <c r="E128" s="85" t="s">
        <v>133</v>
      </c>
      <c r="F128" s="100"/>
    </row>
    <row r="129" spans="1:126" outlineLevel="1" x14ac:dyDescent="0.3">
      <c r="C129" s="92" t="b">
        <v>0</v>
      </c>
      <c r="D129" s="84" t="str">
        <f>IF(C129=TRUE,3,"")</f>
        <v/>
      </c>
      <c r="E129" s="85" t="s">
        <v>134</v>
      </c>
      <c r="F129" s="100"/>
    </row>
    <row r="130" spans="1:126" outlineLevel="1" x14ac:dyDescent="0.3">
      <c r="C130" s="92" t="b">
        <v>0</v>
      </c>
      <c r="D130" s="84" t="str">
        <f>IF(C130=TRUE,4,"")</f>
        <v/>
      </c>
      <c r="E130" s="85" t="s">
        <v>135</v>
      </c>
      <c r="F130" s="100"/>
    </row>
    <row r="131" spans="1:126" s="2" customFormat="1" ht="18" x14ac:dyDescent="0.35">
      <c r="A131" s="10"/>
      <c r="B131" s="10"/>
      <c r="C131" s="92" t="b">
        <v>0</v>
      </c>
      <c r="D131" s="84" t="str">
        <f>IF(C131=TRUE,5,"")</f>
        <v/>
      </c>
      <c r="E131" s="85" t="s">
        <v>136</v>
      </c>
      <c r="F131" s="10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</row>
    <row r="132" spans="1:126" s="12" customFormat="1" ht="18" x14ac:dyDescent="0.35">
      <c r="C132" s="95" t="s">
        <v>137</v>
      </c>
      <c r="D132" s="86">
        <f>AVERAGE(D134,D140,D146,D152,D158)</f>
        <v>3</v>
      </c>
      <c r="E132" s="87" t="s">
        <v>138</v>
      </c>
      <c r="F132" s="102"/>
    </row>
    <row r="133" spans="1:126" s="3" customFormat="1" ht="15" outlineLevel="1" thickBot="1" x14ac:dyDescent="0.35">
      <c r="A133" s="8"/>
      <c r="B133" s="8"/>
      <c r="C133" s="96"/>
      <c r="D133" s="89"/>
      <c r="E133" s="88" t="s">
        <v>139</v>
      </c>
      <c r="F133" s="10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</row>
    <row r="134" spans="1:126" outlineLevel="1" x14ac:dyDescent="0.3">
      <c r="C134" s="94"/>
      <c r="D134" s="82">
        <f>SUM(D135:D139)</f>
        <v>3</v>
      </c>
      <c r="E134" s="83" t="s">
        <v>140</v>
      </c>
      <c r="F134" s="100"/>
    </row>
    <row r="135" spans="1:126" outlineLevel="1" x14ac:dyDescent="0.3">
      <c r="C135" s="92" t="b">
        <v>0</v>
      </c>
      <c r="D135" s="84" t="str">
        <f>IF(C135=TRUE,1,"")</f>
        <v/>
      </c>
      <c r="E135" s="85" t="s">
        <v>141</v>
      </c>
      <c r="F135" s="100"/>
    </row>
    <row r="136" spans="1:126" outlineLevel="1" x14ac:dyDescent="0.3">
      <c r="C136" s="92" t="b">
        <v>0</v>
      </c>
      <c r="D136" s="84" t="str">
        <f>IF(C136=TRUE,2,"")</f>
        <v/>
      </c>
      <c r="E136" s="85" t="s">
        <v>142</v>
      </c>
      <c r="F136" s="100"/>
    </row>
    <row r="137" spans="1:126" outlineLevel="1" x14ac:dyDescent="0.3">
      <c r="C137" s="92" t="b">
        <v>1</v>
      </c>
      <c r="D137" s="84">
        <f>IF(C137=TRUE,3,"")</f>
        <v>3</v>
      </c>
      <c r="E137" s="85" t="s">
        <v>143</v>
      </c>
      <c r="F137" s="100"/>
    </row>
    <row r="138" spans="1:126" outlineLevel="1" x14ac:dyDescent="0.3">
      <c r="C138" s="92" t="b">
        <v>0</v>
      </c>
      <c r="D138" s="84" t="str">
        <f>IF(C138=TRUE,4,"")</f>
        <v/>
      </c>
      <c r="E138" s="85" t="s">
        <v>144</v>
      </c>
      <c r="F138" s="100"/>
    </row>
    <row r="139" spans="1:126" s="3" customFormat="1" outlineLevel="1" x14ac:dyDescent="0.3">
      <c r="A139" s="8"/>
      <c r="B139" s="8"/>
      <c r="C139" s="92" t="b">
        <v>0</v>
      </c>
      <c r="D139" s="84" t="str">
        <f>IF(C139=TRUE,5,"")</f>
        <v/>
      </c>
      <c r="E139" s="85" t="s">
        <v>145</v>
      </c>
      <c r="F139" s="10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</row>
    <row r="140" spans="1:126" outlineLevel="1" x14ac:dyDescent="0.3">
      <c r="C140" s="94"/>
      <c r="D140" s="82">
        <f>SUM(D141:D145)</f>
        <v>4</v>
      </c>
      <c r="E140" s="83" t="s">
        <v>146</v>
      </c>
      <c r="F140" s="100"/>
    </row>
    <row r="141" spans="1:126" outlineLevel="1" x14ac:dyDescent="0.3">
      <c r="C141" s="92" t="b">
        <v>0</v>
      </c>
      <c r="D141" s="84" t="str">
        <f>IF(C141=TRUE,1,"")</f>
        <v/>
      </c>
      <c r="E141" s="85" t="s">
        <v>147</v>
      </c>
      <c r="F141" s="100"/>
    </row>
    <row r="142" spans="1:126" outlineLevel="1" x14ac:dyDescent="0.3">
      <c r="C142" s="92" t="b">
        <v>0</v>
      </c>
      <c r="D142" s="84" t="str">
        <f>IF(C142=TRUE,2,"")</f>
        <v/>
      </c>
      <c r="E142" s="85" t="s">
        <v>148</v>
      </c>
      <c r="F142" s="100"/>
    </row>
    <row r="143" spans="1:126" outlineLevel="1" x14ac:dyDescent="0.3">
      <c r="C143" s="92" t="b">
        <v>0</v>
      </c>
      <c r="D143" s="84" t="str">
        <f>IF(C143=TRUE,3,"")</f>
        <v/>
      </c>
      <c r="E143" s="85" t="s">
        <v>149</v>
      </c>
      <c r="F143" s="100"/>
    </row>
    <row r="144" spans="1:126" outlineLevel="1" x14ac:dyDescent="0.3">
      <c r="C144" s="92" t="b">
        <v>1</v>
      </c>
      <c r="D144" s="84">
        <f>IF(C144=TRUE,4,"")</f>
        <v>4</v>
      </c>
      <c r="E144" s="85" t="s">
        <v>150</v>
      </c>
      <c r="F144" s="100"/>
    </row>
    <row r="145" spans="1:126" s="3" customFormat="1" outlineLevel="1" x14ac:dyDescent="0.3">
      <c r="A145" s="8"/>
      <c r="B145" s="8"/>
      <c r="C145" s="92" t="b">
        <v>0</v>
      </c>
      <c r="D145" s="84" t="str">
        <f>IF(C145=TRUE,5,"")</f>
        <v/>
      </c>
      <c r="E145" s="85" t="s">
        <v>151</v>
      </c>
      <c r="F145" s="10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</row>
    <row r="146" spans="1:126" outlineLevel="1" x14ac:dyDescent="0.3">
      <c r="C146" s="94"/>
      <c r="D146" s="82">
        <f>SUM(D147:D151)</f>
        <v>3</v>
      </c>
      <c r="E146" s="83" t="s">
        <v>152</v>
      </c>
      <c r="F146" s="100"/>
    </row>
    <row r="147" spans="1:126" outlineLevel="1" x14ac:dyDescent="0.3">
      <c r="C147" s="92" t="b">
        <v>0</v>
      </c>
      <c r="D147" s="84" t="str">
        <f>IF(C147=TRUE,1,"")</f>
        <v/>
      </c>
      <c r="E147" s="85" t="s">
        <v>153</v>
      </c>
      <c r="F147" s="100"/>
    </row>
    <row r="148" spans="1:126" outlineLevel="1" x14ac:dyDescent="0.3">
      <c r="C148" s="92" t="b">
        <v>0</v>
      </c>
      <c r="D148" s="84" t="str">
        <f>IF(C148=TRUE,2,"")</f>
        <v/>
      </c>
      <c r="E148" s="85" t="s">
        <v>154</v>
      </c>
      <c r="F148" s="100"/>
    </row>
    <row r="149" spans="1:126" outlineLevel="1" x14ac:dyDescent="0.3">
      <c r="C149" s="92" t="b">
        <v>1</v>
      </c>
      <c r="D149" s="84">
        <f>IF(C149=TRUE,3,"")</f>
        <v>3</v>
      </c>
      <c r="E149" s="85" t="s">
        <v>155</v>
      </c>
      <c r="F149" s="100"/>
    </row>
    <row r="150" spans="1:126" outlineLevel="1" x14ac:dyDescent="0.3">
      <c r="C150" s="92" t="b">
        <v>0</v>
      </c>
      <c r="D150" s="84" t="str">
        <f>IF(C150=TRUE,4,"")</f>
        <v/>
      </c>
      <c r="E150" s="85" t="s">
        <v>156</v>
      </c>
      <c r="F150" s="100"/>
    </row>
    <row r="151" spans="1:126" s="3" customFormat="1" outlineLevel="1" x14ac:dyDescent="0.3">
      <c r="A151" s="8"/>
      <c r="B151" s="8"/>
      <c r="C151" s="92" t="b">
        <v>0</v>
      </c>
      <c r="D151" s="84" t="str">
        <f>IF(C151=TRUE,5,"")</f>
        <v/>
      </c>
      <c r="E151" s="85" t="s">
        <v>157</v>
      </c>
      <c r="F151" s="10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</row>
    <row r="152" spans="1:126" outlineLevel="1" x14ac:dyDescent="0.3">
      <c r="C152" s="94"/>
      <c r="D152" s="82">
        <f>SUM(D153:D157)</f>
        <v>3</v>
      </c>
      <c r="E152" s="83" t="s">
        <v>158</v>
      </c>
      <c r="F152" s="100"/>
    </row>
    <row r="153" spans="1:126" outlineLevel="1" x14ac:dyDescent="0.3">
      <c r="C153" s="92" t="b">
        <v>0</v>
      </c>
      <c r="D153" s="84" t="str">
        <f>IF(C153=TRUE,1,"")</f>
        <v/>
      </c>
      <c r="E153" s="85" t="s">
        <v>159</v>
      </c>
      <c r="F153" s="100"/>
    </row>
    <row r="154" spans="1:126" outlineLevel="1" x14ac:dyDescent="0.3">
      <c r="C154" s="92" t="b">
        <v>0</v>
      </c>
      <c r="D154" s="84" t="str">
        <f>IF(C154=TRUE,2,"")</f>
        <v/>
      </c>
      <c r="E154" s="85" t="s">
        <v>160</v>
      </c>
      <c r="F154" s="100"/>
    </row>
    <row r="155" spans="1:126" outlineLevel="1" x14ac:dyDescent="0.3">
      <c r="C155" s="92" t="b">
        <v>1</v>
      </c>
      <c r="D155" s="84">
        <f>IF(C155=TRUE,3,"")</f>
        <v>3</v>
      </c>
      <c r="E155" s="85" t="s">
        <v>161</v>
      </c>
      <c r="F155" s="100"/>
    </row>
    <row r="156" spans="1:126" outlineLevel="1" x14ac:dyDescent="0.3">
      <c r="C156" s="92" t="b">
        <v>0</v>
      </c>
      <c r="D156" s="84" t="str">
        <f>IF(C156=TRUE,4,"")</f>
        <v/>
      </c>
      <c r="E156" s="85" t="s">
        <v>162</v>
      </c>
      <c r="F156" s="100"/>
    </row>
    <row r="157" spans="1:126" s="3" customFormat="1" outlineLevel="1" x14ac:dyDescent="0.3">
      <c r="A157" s="8"/>
      <c r="B157" s="8"/>
      <c r="C157" s="92" t="b">
        <v>0</v>
      </c>
      <c r="D157" s="84" t="str">
        <f>IF(C157=TRUE,5,"")</f>
        <v/>
      </c>
      <c r="E157" s="85" t="s">
        <v>163</v>
      </c>
      <c r="F157" s="10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</row>
    <row r="158" spans="1:126" outlineLevel="1" x14ac:dyDescent="0.3">
      <c r="C158" s="94"/>
      <c r="D158" s="82">
        <f>SUM(D159:D163)</f>
        <v>2</v>
      </c>
      <c r="E158" s="83" t="s">
        <v>164</v>
      </c>
      <c r="F158" s="100"/>
    </row>
    <row r="159" spans="1:126" outlineLevel="1" x14ac:dyDescent="0.3">
      <c r="C159" s="92" t="b">
        <v>0</v>
      </c>
      <c r="D159" s="84" t="str">
        <f>IF(C159=TRUE,1,"")</f>
        <v/>
      </c>
      <c r="E159" s="85" t="s">
        <v>165</v>
      </c>
      <c r="F159" s="100"/>
    </row>
    <row r="160" spans="1:126" outlineLevel="1" x14ac:dyDescent="0.3">
      <c r="C160" s="92" t="b">
        <v>1</v>
      </c>
      <c r="D160" s="84">
        <f>IF(C160=TRUE,2,"")</f>
        <v>2</v>
      </c>
      <c r="E160" s="85" t="s">
        <v>166</v>
      </c>
      <c r="F160" s="100"/>
    </row>
    <row r="161" spans="1:126" outlineLevel="1" x14ac:dyDescent="0.3">
      <c r="C161" s="92" t="b">
        <v>0</v>
      </c>
      <c r="D161" s="84" t="str">
        <f>IF(C161=TRUE,3,"")</f>
        <v/>
      </c>
      <c r="E161" s="85" t="s">
        <v>167</v>
      </c>
      <c r="F161" s="100"/>
    </row>
    <row r="162" spans="1:126" outlineLevel="1" x14ac:dyDescent="0.3">
      <c r="C162" s="92" t="b">
        <v>0</v>
      </c>
      <c r="D162" s="84" t="str">
        <f>IF(C162=TRUE,4,"")</f>
        <v/>
      </c>
      <c r="E162" s="85" t="s">
        <v>168</v>
      </c>
      <c r="F162" s="100"/>
    </row>
    <row r="163" spans="1:126" s="2" customFormat="1" ht="18" x14ac:dyDescent="0.35">
      <c r="A163" s="10"/>
      <c r="B163" s="10"/>
      <c r="C163" s="92" t="b">
        <v>0</v>
      </c>
      <c r="D163" s="84" t="str">
        <f>IF(C163=TRUE,5,"")</f>
        <v/>
      </c>
      <c r="E163" s="85" t="s">
        <v>169</v>
      </c>
      <c r="F163" s="10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</row>
    <row r="164" spans="1:126" s="12" customFormat="1" ht="18" x14ac:dyDescent="0.35">
      <c r="C164" s="95" t="s">
        <v>170</v>
      </c>
      <c r="D164" s="86">
        <f>AVERAGE(D166,D172,D178,D184,D190)</f>
        <v>1.4</v>
      </c>
      <c r="E164" s="87" t="s">
        <v>171</v>
      </c>
      <c r="F164" s="102"/>
    </row>
    <row r="165" spans="1:126" s="3" customFormat="1" ht="15" outlineLevel="1" thickBot="1" x14ac:dyDescent="0.35">
      <c r="A165" s="8"/>
      <c r="B165" s="8"/>
      <c r="C165" s="96"/>
      <c r="D165" s="89"/>
      <c r="E165" s="88" t="s">
        <v>172</v>
      </c>
      <c r="F165" s="10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</row>
    <row r="166" spans="1:126" outlineLevel="1" x14ac:dyDescent="0.3">
      <c r="C166" s="94"/>
      <c r="D166" s="82">
        <f>SUM(D167:D171)</f>
        <v>1</v>
      </c>
      <c r="E166" s="83" t="s">
        <v>173</v>
      </c>
      <c r="F166" s="100"/>
    </row>
    <row r="167" spans="1:126" outlineLevel="1" x14ac:dyDescent="0.3">
      <c r="C167" s="92" t="b">
        <v>1</v>
      </c>
      <c r="D167" s="84">
        <f>IF(C167=TRUE,1,"")</f>
        <v>1</v>
      </c>
      <c r="E167" s="85" t="s">
        <v>174</v>
      </c>
      <c r="F167" s="100"/>
    </row>
    <row r="168" spans="1:126" outlineLevel="1" x14ac:dyDescent="0.3">
      <c r="C168" s="92" t="b">
        <v>0</v>
      </c>
      <c r="D168" s="84" t="str">
        <f>IF(C168=TRUE,2,"")</f>
        <v/>
      </c>
      <c r="E168" s="85" t="s">
        <v>175</v>
      </c>
      <c r="F168" s="100"/>
    </row>
    <row r="169" spans="1:126" outlineLevel="1" x14ac:dyDescent="0.3">
      <c r="C169" s="92" t="b">
        <v>0</v>
      </c>
      <c r="D169" s="84" t="str">
        <f>IF(C169=TRUE,3,"")</f>
        <v/>
      </c>
      <c r="E169" s="85" t="s">
        <v>176</v>
      </c>
      <c r="F169" s="100"/>
    </row>
    <row r="170" spans="1:126" outlineLevel="1" x14ac:dyDescent="0.3">
      <c r="C170" s="92" t="b">
        <v>0</v>
      </c>
      <c r="D170" s="84" t="str">
        <f>IF(C170=TRUE,4,"")</f>
        <v/>
      </c>
      <c r="E170" s="85" t="s">
        <v>177</v>
      </c>
      <c r="F170" s="100"/>
    </row>
    <row r="171" spans="1:126" s="3" customFormat="1" outlineLevel="1" x14ac:dyDescent="0.3">
      <c r="A171" s="8"/>
      <c r="B171" s="8"/>
      <c r="C171" s="92" t="b">
        <v>0</v>
      </c>
      <c r="D171" s="84" t="str">
        <f>IF(C171=TRUE,5,"")</f>
        <v/>
      </c>
      <c r="E171" s="85" t="s">
        <v>178</v>
      </c>
      <c r="F171" s="10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</row>
    <row r="172" spans="1:126" outlineLevel="1" x14ac:dyDescent="0.3">
      <c r="C172" s="94"/>
      <c r="D172" s="82">
        <f>SUM(D173:D177)</f>
        <v>1</v>
      </c>
      <c r="E172" s="83" t="s">
        <v>179</v>
      </c>
      <c r="F172" s="100"/>
    </row>
    <row r="173" spans="1:126" outlineLevel="1" x14ac:dyDescent="0.3">
      <c r="C173" s="92" t="b">
        <v>1</v>
      </c>
      <c r="D173" s="84">
        <f>IF(C173=TRUE,1,"")</f>
        <v>1</v>
      </c>
      <c r="E173" s="85" t="s">
        <v>180</v>
      </c>
      <c r="F173" s="100"/>
    </row>
    <row r="174" spans="1:126" outlineLevel="1" x14ac:dyDescent="0.3">
      <c r="C174" s="92" t="b">
        <v>0</v>
      </c>
      <c r="D174" s="84" t="str">
        <f>IF(C174=TRUE,2,"")</f>
        <v/>
      </c>
      <c r="E174" s="85" t="s">
        <v>181</v>
      </c>
      <c r="F174" s="100"/>
    </row>
    <row r="175" spans="1:126" outlineLevel="1" x14ac:dyDescent="0.3">
      <c r="C175" s="92" t="b">
        <v>0</v>
      </c>
      <c r="D175" s="84" t="str">
        <f>IF(C175=TRUE,3,"")</f>
        <v/>
      </c>
      <c r="E175" s="85" t="s">
        <v>182</v>
      </c>
      <c r="F175" s="100"/>
    </row>
    <row r="176" spans="1:126" outlineLevel="1" x14ac:dyDescent="0.3">
      <c r="C176" s="92" t="b">
        <v>0</v>
      </c>
      <c r="D176" s="84" t="str">
        <f>IF(C176=TRUE,4,"")</f>
        <v/>
      </c>
      <c r="E176" s="85" t="s">
        <v>183</v>
      </c>
      <c r="F176" s="100"/>
    </row>
    <row r="177" spans="1:126" s="3" customFormat="1" outlineLevel="1" x14ac:dyDescent="0.3">
      <c r="A177" s="8"/>
      <c r="B177" s="8"/>
      <c r="C177" s="92" t="b">
        <v>0</v>
      </c>
      <c r="D177" s="84" t="str">
        <f>IF(C177=TRUE,5,"")</f>
        <v/>
      </c>
      <c r="E177" s="85" t="s">
        <v>184</v>
      </c>
      <c r="F177" s="10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</row>
    <row r="178" spans="1:126" outlineLevel="1" x14ac:dyDescent="0.3">
      <c r="C178" s="94"/>
      <c r="D178" s="82">
        <f>SUM(D179:D183)</f>
        <v>1</v>
      </c>
      <c r="E178" s="83" t="s">
        <v>185</v>
      </c>
      <c r="F178" s="100"/>
    </row>
    <row r="179" spans="1:126" outlineLevel="1" x14ac:dyDescent="0.3">
      <c r="C179" s="92" t="b">
        <v>1</v>
      </c>
      <c r="D179" s="84">
        <f>IF(C179=TRUE,1,"")</f>
        <v>1</v>
      </c>
      <c r="E179" s="85" t="s">
        <v>186</v>
      </c>
      <c r="F179" s="100"/>
    </row>
    <row r="180" spans="1:126" outlineLevel="1" x14ac:dyDescent="0.3">
      <c r="C180" s="92" t="b">
        <v>0</v>
      </c>
      <c r="D180" s="84" t="str">
        <f>IF(C180=TRUE,2,"")</f>
        <v/>
      </c>
      <c r="E180" s="85" t="s">
        <v>187</v>
      </c>
      <c r="F180" s="100"/>
    </row>
    <row r="181" spans="1:126" outlineLevel="1" x14ac:dyDescent="0.3">
      <c r="C181" s="92" t="b">
        <v>0</v>
      </c>
      <c r="D181" s="84" t="str">
        <f>IF(C181=TRUE,3,"")</f>
        <v/>
      </c>
      <c r="E181" s="85" t="s">
        <v>188</v>
      </c>
      <c r="F181" s="100"/>
    </row>
    <row r="182" spans="1:126" outlineLevel="1" x14ac:dyDescent="0.3">
      <c r="C182" s="92" t="b">
        <v>0</v>
      </c>
      <c r="D182" s="84" t="str">
        <f>IF(C182=TRUE,4,"")</f>
        <v/>
      </c>
      <c r="E182" s="85" t="s">
        <v>189</v>
      </c>
      <c r="F182" s="100"/>
    </row>
    <row r="183" spans="1:126" s="3" customFormat="1" outlineLevel="1" x14ac:dyDescent="0.3">
      <c r="A183" s="8"/>
      <c r="B183" s="8"/>
      <c r="C183" s="92" t="b">
        <v>0</v>
      </c>
      <c r="D183" s="84" t="str">
        <f>IF(C183=TRUE,5,"")</f>
        <v/>
      </c>
      <c r="E183" s="85" t="s">
        <v>190</v>
      </c>
      <c r="F183" s="10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</row>
    <row r="184" spans="1:126" outlineLevel="1" x14ac:dyDescent="0.3">
      <c r="C184" s="94"/>
      <c r="D184" s="82">
        <f>SUM(D185:D189)</f>
        <v>1</v>
      </c>
      <c r="E184" s="83" t="s">
        <v>191</v>
      </c>
      <c r="F184" s="100"/>
    </row>
    <row r="185" spans="1:126" outlineLevel="1" x14ac:dyDescent="0.3">
      <c r="C185" s="92" t="b">
        <v>1</v>
      </c>
      <c r="D185" s="84">
        <f>IF(C185=TRUE,1,"")</f>
        <v>1</v>
      </c>
      <c r="E185" s="85" t="s">
        <v>192</v>
      </c>
      <c r="F185" s="100"/>
    </row>
    <row r="186" spans="1:126" outlineLevel="1" x14ac:dyDescent="0.3">
      <c r="C186" s="92" t="b">
        <v>0</v>
      </c>
      <c r="D186" s="84" t="str">
        <f>IF(C186=TRUE,2,"")</f>
        <v/>
      </c>
      <c r="E186" s="85" t="s">
        <v>193</v>
      </c>
      <c r="F186" s="100"/>
    </row>
    <row r="187" spans="1:126" outlineLevel="1" x14ac:dyDescent="0.3">
      <c r="C187" s="92" t="b">
        <v>0</v>
      </c>
      <c r="D187" s="84" t="str">
        <f>IF(C187=TRUE,3,"")</f>
        <v/>
      </c>
      <c r="E187" s="85" t="s">
        <v>194</v>
      </c>
      <c r="F187" s="100"/>
    </row>
    <row r="188" spans="1:126" outlineLevel="1" x14ac:dyDescent="0.3">
      <c r="C188" s="92" t="b">
        <v>0</v>
      </c>
      <c r="D188" s="84" t="str">
        <f>IF(C188=TRUE,4,"")</f>
        <v/>
      </c>
      <c r="E188" s="85" t="s">
        <v>195</v>
      </c>
      <c r="F188" s="100"/>
    </row>
    <row r="189" spans="1:126" s="3" customFormat="1" outlineLevel="1" x14ac:dyDescent="0.3">
      <c r="A189" s="8"/>
      <c r="B189" s="8"/>
      <c r="C189" s="92" t="b">
        <v>0</v>
      </c>
      <c r="D189" s="84" t="str">
        <f>IF(C189=TRUE,5,"")</f>
        <v/>
      </c>
      <c r="E189" s="85" t="s">
        <v>196</v>
      </c>
      <c r="F189" s="10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</row>
    <row r="190" spans="1:126" outlineLevel="1" x14ac:dyDescent="0.3">
      <c r="C190" s="94"/>
      <c r="D190" s="82">
        <f>SUM(D191:D195)</f>
        <v>3</v>
      </c>
      <c r="E190" s="83" t="s">
        <v>197</v>
      </c>
      <c r="F190" s="100"/>
    </row>
    <row r="191" spans="1:126" outlineLevel="1" x14ac:dyDescent="0.3">
      <c r="C191" s="92" t="b">
        <v>0</v>
      </c>
      <c r="D191" s="84" t="str">
        <f>IF(C191=TRUE,1,"")</f>
        <v/>
      </c>
      <c r="E191" s="85" t="s">
        <v>198</v>
      </c>
      <c r="F191" s="100"/>
    </row>
    <row r="192" spans="1:126" outlineLevel="1" x14ac:dyDescent="0.3">
      <c r="C192" s="92" t="b">
        <v>0</v>
      </c>
      <c r="D192" s="84" t="str">
        <f>IF(C192=TRUE,2,"")</f>
        <v/>
      </c>
      <c r="E192" s="85" t="s">
        <v>199</v>
      </c>
      <c r="F192" s="100"/>
    </row>
    <row r="193" spans="1:126" outlineLevel="1" x14ac:dyDescent="0.3">
      <c r="C193" s="92" t="b">
        <v>1</v>
      </c>
      <c r="D193" s="84">
        <f>IF(C193=TRUE,3,"")</f>
        <v>3</v>
      </c>
      <c r="E193" s="85" t="s">
        <v>200</v>
      </c>
      <c r="F193" s="100"/>
    </row>
    <row r="194" spans="1:126" outlineLevel="1" x14ac:dyDescent="0.3">
      <c r="C194" s="92" t="b">
        <v>0</v>
      </c>
      <c r="D194" s="84" t="str">
        <f>IF(C194=TRUE,4,"")</f>
        <v/>
      </c>
      <c r="E194" s="85" t="s">
        <v>201</v>
      </c>
      <c r="F194" s="100"/>
    </row>
    <row r="195" spans="1:126" s="2" customFormat="1" ht="18" x14ac:dyDescent="0.35">
      <c r="A195" s="10"/>
      <c r="B195" s="10"/>
      <c r="C195" s="92" t="b">
        <v>0</v>
      </c>
      <c r="D195" s="84" t="str">
        <f>IF(C195=TRUE,5,"")</f>
        <v/>
      </c>
      <c r="E195" s="85" t="s">
        <v>202</v>
      </c>
      <c r="F195" s="10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</row>
    <row r="196" spans="1:126" s="12" customFormat="1" ht="18" x14ac:dyDescent="0.35">
      <c r="C196" s="95" t="s">
        <v>203</v>
      </c>
      <c r="D196" s="86">
        <f>AVERAGE(D198,D204,D210,D216,D222)</f>
        <v>4</v>
      </c>
      <c r="E196" s="87" t="s">
        <v>204</v>
      </c>
      <c r="F196" s="102"/>
    </row>
    <row r="197" spans="1:126" s="3" customFormat="1" ht="15" outlineLevel="1" thickBot="1" x14ac:dyDescent="0.35">
      <c r="A197" s="8"/>
      <c r="B197" s="8"/>
      <c r="C197" s="96"/>
      <c r="D197" s="89"/>
      <c r="E197" s="88" t="s">
        <v>205</v>
      </c>
      <c r="F197" s="10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</row>
    <row r="198" spans="1:126" outlineLevel="1" x14ac:dyDescent="0.3">
      <c r="C198" s="94"/>
      <c r="D198" s="82">
        <f>SUM(D199:D203)</f>
        <v>4</v>
      </c>
      <c r="E198" s="83" t="s">
        <v>206</v>
      </c>
      <c r="F198" s="100"/>
    </row>
    <row r="199" spans="1:126" outlineLevel="1" x14ac:dyDescent="0.3">
      <c r="C199" s="92" t="b">
        <v>0</v>
      </c>
      <c r="D199" s="84" t="str">
        <f>IF(C199=TRUE,1,"")</f>
        <v/>
      </c>
      <c r="E199" s="85" t="s">
        <v>207</v>
      </c>
      <c r="F199" s="100"/>
    </row>
    <row r="200" spans="1:126" outlineLevel="1" x14ac:dyDescent="0.3">
      <c r="C200" s="92" t="b">
        <v>0</v>
      </c>
      <c r="D200" s="84" t="str">
        <f>IF(C200=TRUE,2,"")</f>
        <v/>
      </c>
      <c r="E200" s="85" t="s">
        <v>208</v>
      </c>
      <c r="F200" s="100"/>
    </row>
    <row r="201" spans="1:126" outlineLevel="1" x14ac:dyDescent="0.3">
      <c r="C201" s="92" t="b">
        <v>0</v>
      </c>
      <c r="D201" s="84" t="str">
        <f>IF(C201=TRUE,3,"")</f>
        <v/>
      </c>
      <c r="E201" s="85" t="s">
        <v>209</v>
      </c>
      <c r="F201" s="100"/>
    </row>
    <row r="202" spans="1:126" outlineLevel="1" x14ac:dyDescent="0.3">
      <c r="C202" s="92" t="b">
        <v>1</v>
      </c>
      <c r="D202" s="84">
        <f>IF(C202=TRUE,4,"")</f>
        <v>4</v>
      </c>
      <c r="E202" s="85" t="s">
        <v>210</v>
      </c>
      <c r="F202" s="100"/>
    </row>
    <row r="203" spans="1:126" s="3" customFormat="1" outlineLevel="1" x14ac:dyDescent="0.3">
      <c r="A203" s="8"/>
      <c r="B203" s="8"/>
      <c r="C203" s="92" t="b">
        <v>0</v>
      </c>
      <c r="D203" s="84" t="str">
        <f>IF(C203=TRUE,5,"")</f>
        <v/>
      </c>
      <c r="E203" s="85" t="s">
        <v>211</v>
      </c>
      <c r="F203" s="10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</row>
    <row r="204" spans="1:126" outlineLevel="1" x14ac:dyDescent="0.3">
      <c r="C204" s="94"/>
      <c r="D204" s="82">
        <f>SUM(D205:D209)</f>
        <v>4</v>
      </c>
      <c r="E204" s="83" t="s">
        <v>212</v>
      </c>
      <c r="F204" s="100"/>
    </row>
    <row r="205" spans="1:126" outlineLevel="1" x14ac:dyDescent="0.3">
      <c r="C205" s="92" t="b">
        <v>0</v>
      </c>
      <c r="D205" s="84" t="str">
        <f>IF(C205=TRUE,1,"")</f>
        <v/>
      </c>
      <c r="E205" s="85" t="s">
        <v>213</v>
      </c>
      <c r="F205" s="100"/>
    </row>
    <row r="206" spans="1:126" outlineLevel="1" x14ac:dyDescent="0.3">
      <c r="C206" s="92" t="b">
        <v>0</v>
      </c>
      <c r="D206" s="84" t="str">
        <f>IF(C206=TRUE,2,"")</f>
        <v/>
      </c>
      <c r="E206" s="85" t="s">
        <v>214</v>
      </c>
      <c r="F206" s="100"/>
    </row>
    <row r="207" spans="1:126" outlineLevel="1" x14ac:dyDescent="0.3">
      <c r="C207" s="92" t="b">
        <v>0</v>
      </c>
      <c r="D207" s="84" t="str">
        <f>IF(C207=TRUE,3,"")</f>
        <v/>
      </c>
      <c r="E207" s="85" t="s">
        <v>215</v>
      </c>
      <c r="F207" s="100"/>
    </row>
    <row r="208" spans="1:126" outlineLevel="1" x14ac:dyDescent="0.3">
      <c r="C208" s="92" t="b">
        <v>1</v>
      </c>
      <c r="D208" s="84">
        <f>IF(C208=TRUE,4,"")</f>
        <v>4</v>
      </c>
      <c r="E208" s="85" t="s">
        <v>216</v>
      </c>
      <c r="F208" s="100"/>
    </row>
    <row r="209" spans="1:126" s="3" customFormat="1" outlineLevel="1" x14ac:dyDescent="0.3">
      <c r="A209" s="8"/>
      <c r="B209" s="8"/>
      <c r="C209" s="92" t="b">
        <v>0</v>
      </c>
      <c r="D209" s="84" t="str">
        <f>IF(C209=TRUE,5,"")</f>
        <v/>
      </c>
      <c r="E209" s="85" t="s">
        <v>217</v>
      </c>
      <c r="F209" s="10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</row>
    <row r="210" spans="1:126" outlineLevel="1" x14ac:dyDescent="0.3">
      <c r="C210" s="94"/>
      <c r="D210" s="82">
        <f>SUM(D211:D215)</f>
        <v>4</v>
      </c>
      <c r="E210" s="83" t="s">
        <v>218</v>
      </c>
      <c r="F210" s="100"/>
    </row>
    <row r="211" spans="1:126" outlineLevel="1" x14ac:dyDescent="0.3">
      <c r="C211" s="92" t="b">
        <v>0</v>
      </c>
      <c r="D211" s="84" t="str">
        <f>IF(C211=TRUE,1,"")</f>
        <v/>
      </c>
      <c r="E211" s="85" t="s">
        <v>219</v>
      </c>
      <c r="F211" s="100"/>
    </row>
    <row r="212" spans="1:126" outlineLevel="1" x14ac:dyDescent="0.3">
      <c r="C212" s="92" t="b">
        <v>0</v>
      </c>
      <c r="D212" s="84" t="str">
        <f>IF(C212=TRUE,2,"")</f>
        <v/>
      </c>
      <c r="E212" s="85" t="s">
        <v>220</v>
      </c>
      <c r="F212" s="100"/>
    </row>
    <row r="213" spans="1:126" outlineLevel="1" x14ac:dyDescent="0.3">
      <c r="C213" s="92" t="b">
        <v>0</v>
      </c>
      <c r="D213" s="84" t="str">
        <f>IF(C213=TRUE,3,"")</f>
        <v/>
      </c>
      <c r="E213" s="85" t="s">
        <v>221</v>
      </c>
      <c r="F213" s="100"/>
    </row>
    <row r="214" spans="1:126" outlineLevel="1" x14ac:dyDescent="0.3">
      <c r="C214" s="92" t="b">
        <v>1</v>
      </c>
      <c r="D214" s="84">
        <f>IF(C214=TRUE,4,"")</f>
        <v>4</v>
      </c>
      <c r="E214" s="85" t="s">
        <v>222</v>
      </c>
      <c r="F214" s="100"/>
    </row>
    <row r="215" spans="1:126" s="3" customFormat="1" outlineLevel="1" x14ac:dyDescent="0.3">
      <c r="A215" s="8"/>
      <c r="B215" s="8"/>
      <c r="C215" s="92" t="b">
        <v>0</v>
      </c>
      <c r="D215" s="84" t="str">
        <f>IF(C215=TRUE,5,"")</f>
        <v/>
      </c>
      <c r="E215" s="85" t="s">
        <v>223</v>
      </c>
      <c r="F215" s="10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</row>
    <row r="216" spans="1:126" outlineLevel="1" x14ac:dyDescent="0.3">
      <c r="C216" s="94"/>
      <c r="D216" s="82">
        <f>SUM(D217:D221)</f>
        <v>4</v>
      </c>
      <c r="E216" s="83" t="s">
        <v>224</v>
      </c>
      <c r="F216" s="100"/>
    </row>
    <row r="217" spans="1:126" outlineLevel="1" x14ac:dyDescent="0.3">
      <c r="C217" s="92" t="b">
        <v>0</v>
      </c>
      <c r="D217" s="84" t="str">
        <f>IF(C217=TRUE,1,"")</f>
        <v/>
      </c>
      <c r="E217" s="85" t="s">
        <v>225</v>
      </c>
      <c r="F217" s="100"/>
    </row>
    <row r="218" spans="1:126" outlineLevel="1" x14ac:dyDescent="0.3">
      <c r="C218" s="92" t="b">
        <v>0</v>
      </c>
      <c r="D218" s="84" t="str">
        <f>IF(C218=TRUE,2,"")</f>
        <v/>
      </c>
      <c r="E218" s="85" t="s">
        <v>226</v>
      </c>
      <c r="F218" s="100"/>
    </row>
    <row r="219" spans="1:126" outlineLevel="1" x14ac:dyDescent="0.3">
      <c r="C219" s="92" t="b">
        <v>0</v>
      </c>
      <c r="D219" s="84" t="str">
        <f>IF(C219=TRUE,3,"")</f>
        <v/>
      </c>
      <c r="E219" s="85" t="s">
        <v>227</v>
      </c>
      <c r="F219" s="100"/>
    </row>
    <row r="220" spans="1:126" outlineLevel="1" x14ac:dyDescent="0.3">
      <c r="C220" s="92" t="b">
        <v>1</v>
      </c>
      <c r="D220" s="84">
        <f>IF(C220=TRUE,4,"")</f>
        <v>4</v>
      </c>
      <c r="E220" s="85" t="s">
        <v>228</v>
      </c>
      <c r="F220" s="100"/>
    </row>
    <row r="221" spans="1:126" s="3" customFormat="1" outlineLevel="1" x14ac:dyDescent="0.3">
      <c r="A221" s="8"/>
      <c r="B221" s="8"/>
      <c r="C221" s="92" t="b">
        <v>0</v>
      </c>
      <c r="D221" s="84" t="str">
        <f>IF(C221=TRUE,5,"")</f>
        <v/>
      </c>
      <c r="E221" s="85" t="s">
        <v>229</v>
      </c>
      <c r="F221" s="10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</row>
    <row r="222" spans="1:126" outlineLevel="1" x14ac:dyDescent="0.3">
      <c r="C222" s="94"/>
      <c r="D222" s="82">
        <f>SUM(D223:D227)</f>
        <v>4</v>
      </c>
      <c r="E222" s="83" t="s">
        <v>230</v>
      </c>
      <c r="F222" s="100"/>
    </row>
    <row r="223" spans="1:126" outlineLevel="1" x14ac:dyDescent="0.3">
      <c r="C223" s="92" t="b">
        <v>0</v>
      </c>
      <c r="D223" s="84" t="str">
        <f>IF(C223=TRUE,1,"")</f>
        <v/>
      </c>
      <c r="E223" s="85" t="s">
        <v>231</v>
      </c>
      <c r="F223" s="100"/>
    </row>
    <row r="224" spans="1:126" outlineLevel="1" x14ac:dyDescent="0.3">
      <c r="C224" s="92" t="b">
        <v>0</v>
      </c>
      <c r="D224" s="84" t="str">
        <f>IF(C224=TRUE,2,"")</f>
        <v/>
      </c>
      <c r="E224" s="85" t="s">
        <v>232</v>
      </c>
      <c r="F224" s="100"/>
    </row>
    <row r="225" spans="1:126" outlineLevel="1" x14ac:dyDescent="0.3">
      <c r="C225" s="92" t="b">
        <v>0</v>
      </c>
      <c r="D225" s="84" t="str">
        <f>IF(C225=TRUE,3,"")</f>
        <v/>
      </c>
      <c r="E225" s="85" t="s">
        <v>233</v>
      </c>
      <c r="F225" s="100"/>
    </row>
    <row r="226" spans="1:126" outlineLevel="1" x14ac:dyDescent="0.3">
      <c r="C226" s="92" t="b">
        <v>1</v>
      </c>
      <c r="D226" s="84">
        <f>IF(C226=TRUE,4,"")</f>
        <v>4</v>
      </c>
      <c r="E226" s="85" t="s">
        <v>234</v>
      </c>
      <c r="F226" s="100"/>
    </row>
    <row r="227" spans="1:126" s="2" customFormat="1" ht="18" x14ac:dyDescent="0.35">
      <c r="A227" s="10"/>
      <c r="B227" s="10"/>
      <c r="C227" s="92" t="b">
        <v>0</v>
      </c>
      <c r="D227" s="84" t="str">
        <f>IF(C227=TRUE,5,"")</f>
        <v/>
      </c>
      <c r="E227" s="85" t="s">
        <v>235</v>
      </c>
      <c r="F227" s="10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</row>
    <row r="228" spans="1:126" s="12" customFormat="1" ht="18" x14ac:dyDescent="0.35">
      <c r="C228" s="95" t="s">
        <v>236</v>
      </c>
      <c r="D228" s="86">
        <f>AVERAGE(D230,D236,D242,D248,D254)</f>
        <v>2.2000000000000002</v>
      </c>
      <c r="E228" s="87" t="s">
        <v>237</v>
      </c>
      <c r="F228" s="102"/>
    </row>
    <row r="229" spans="1:126" s="3" customFormat="1" ht="15" outlineLevel="1" thickBot="1" x14ac:dyDescent="0.35">
      <c r="A229" s="8"/>
      <c r="B229" s="8"/>
      <c r="C229" s="96"/>
      <c r="D229" s="89"/>
      <c r="E229" s="88" t="s">
        <v>238</v>
      </c>
      <c r="F229" s="10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</row>
    <row r="230" spans="1:126" outlineLevel="1" x14ac:dyDescent="0.3">
      <c r="C230" s="94"/>
      <c r="D230" s="82">
        <f>SUM(D231:D235)</f>
        <v>3</v>
      </c>
      <c r="E230" s="83" t="s">
        <v>239</v>
      </c>
      <c r="F230" s="100"/>
    </row>
    <row r="231" spans="1:126" outlineLevel="1" x14ac:dyDescent="0.3">
      <c r="C231" s="92" t="b">
        <v>0</v>
      </c>
      <c r="D231" s="84" t="str">
        <f>IF(C231=TRUE,1,"")</f>
        <v/>
      </c>
      <c r="E231" s="85" t="s">
        <v>240</v>
      </c>
      <c r="F231" s="100"/>
    </row>
    <row r="232" spans="1:126" outlineLevel="1" x14ac:dyDescent="0.3">
      <c r="C232" s="92" t="b">
        <v>0</v>
      </c>
      <c r="D232" s="84" t="str">
        <f>IF(C232=TRUE,2,"")</f>
        <v/>
      </c>
      <c r="E232" s="85" t="s">
        <v>241</v>
      </c>
      <c r="F232" s="100"/>
    </row>
    <row r="233" spans="1:126" outlineLevel="1" x14ac:dyDescent="0.3">
      <c r="C233" s="92" t="b">
        <v>1</v>
      </c>
      <c r="D233" s="84">
        <f>IF(C233=TRUE,3,"")</f>
        <v>3</v>
      </c>
      <c r="E233" s="85" t="s">
        <v>242</v>
      </c>
      <c r="F233" s="100"/>
    </row>
    <row r="234" spans="1:126" outlineLevel="1" x14ac:dyDescent="0.3">
      <c r="C234" s="92" t="b">
        <v>0</v>
      </c>
      <c r="D234" s="84" t="str">
        <f>IF(C234=TRUE,4,"")</f>
        <v/>
      </c>
      <c r="E234" s="85" t="s">
        <v>243</v>
      </c>
      <c r="F234" s="100"/>
    </row>
    <row r="235" spans="1:126" s="3" customFormat="1" outlineLevel="1" x14ac:dyDescent="0.3">
      <c r="A235" s="8"/>
      <c r="B235" s="8"/>
      <c r="C235" s="92" t="b">
        <v>0</v>
      </c>
      <c r="D235" s="84" t="str">
        <f>IF(C235=TRUE,5,"")</f>
        <v/>
      </c>
      <c r="E235" s="85" t="s">
        <v>244</v>
      </c>
      <c r="F235" s="10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</row>
    <row r="236" spans="1:126" outlineLevel="1" x14ac:dyDescent="0.3">
      <c r="C236" s="94"/>
      <c r="D236" s="82">
        <f>SUM(D237:D241)</f>
        <v>2</v>
      </c>
      <c r="E236" s="83" t="s">
        <v>245</v>
      </c>
      <c r="F236" s="100"/>
    </row>
    <row r="237" spans="1:126" outlineLevel="1" x14ac:dyDescent="0.3">
      <c r="C237" s="92" t="b">
        <v>0</v>
      </c>
      <c r="D237" s="84" t="str">
        <f>IF(C237=TRUE,1,"")</f>
        <v/>
      </c>
      <c r="E237" s="85" t="s">
        <v>246</v>
      </c>
      <c r="F237" s="100"/>
    </row>
    <row r="238" spans="1:126" outlineLevel="1" x14ac:dyDescent="0.3">
      <c r="C238" s="92" t="b">
        <v>1</v>
      </c>
      <c r="D238" s="84">
        <f>IF(C238=TRUE,2,"")</f>
        <v>2</v>
      </c>
      <c r="E238" s="85" t="s">
        <v>247</v>
      </c>
      <c r="F238" s="100"/>
    </row>
    <row r="239" spans="1:126" outlineLevel="1" x14ac:dyDescent="0.3">
      <c r="C239" s="92" t="b">
        <v>0</v>
      </c>
      <c r="D239" s="84" t="str">
        <f>IF(C239=TRUE,3,"")</f>
        <v/>
      </c>
      <c r="E239" s="85" t="s">
        <v>248</v>
      </c>
      <c r="F239" s="100"/>
    </row>
    <row r="240" spans="1:126" outlineLevel="1" x14ac:dyDescent="0.3">
      <c r="C240" s="92" t="b">
        <v>0</v>
      </c>
      <c r="D240" s="84" t="str">
        <f>IF(C240=TRUE,4,"")</f>
        <v/>
      </c>
      <c r="E240" s="85" t="s">
        <v>249</v>
      </c>
      <c r="F240" s="100"/>
    </row>
    <row r="241" spans="1:126" s="3" customFormat="1" outlineLevel="1" x14ac:dyDescent="0.3">
      <c r="A241" s="8"/>
      <c r="B241" s="8"/>
      <c r="C241" s="92" t="b">
        <v>0</v>
      </c>
      <c r="D241" s="84" t="str">
        <f>IF(C241=TRUE,5,"")</f>
        <v/>
      </c>
      <c r="E241" s="85" t="s">
        <v>250</v>
      </c>
      <c r="F241" s="10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</row>
    <row r="242" spans="1:126" outlineLevel="1" x14ac:dyDescent="0.3">
      <c r="C242" s="94"/>
      <c r="D242" s="82">
        <f>SUM(D243:D247)</f>
        <v>2</v>
      </c>
      <c r="E242" s="83" t="s">
        <v>251</v>
      </c>
      <c r="F242" s="100"/>
    </row>
    <row r="243" spans="1:126" outlineLevel="1" x14ac:dyDescent="0.3">
      <c r="C243" s="92" t="b">
        <v>0</v>
      </c>
      <c r="D243" s="84" t="str">
        <f>IF(C243=TRUE,1,"")</f>
        <v/>
      </c>
      <c r="E243" s="85" t="s">
        <v>252</v>
      </c>
      <c r="F243" s="100"/>
    </row>
    <row r="244" spans="1:126" outlineLevel="1" x14ac:dyDescent="0.3">
      <c r="C244" s="92" t="b">
        <v>1</v>
      </c>
      <c r="D244" s="84">
        <f>IF(C244=TRUE,2,"")</f>
        <v>2</v>
      </c>
      <c r="E244" s="85" t="s">
        <v>253</v>
      </c>
      <c r="F244" s="100"/>
    </row>
    <row r="245" spans="1:126" outlineLevel="1" x14ac:dyDescent="0.3">
      <c r="C245" s="92" t="b">
        <v>0</v>
      </c>
      <c r="D245" s="84" t="str">
        <f>IF(C245=TRUE,3,"")</f>
        <v/>
      </c>
      <c r="E245" s="85" t="s">
        <v>254</v>
      </c>
      <c r="F245" s="100"/>
    </row>
    <row r="246" spans="1:126" outlineLevel="1" x14ac:dyDescent="0.3">
      <c r="C246" s="92" t="b">
        <v>0</v>
      </c>
      <c r="D246" s="84" t="str">
        <f>IF(C246=TRUE,4,"")</f>
        <v/>
      </c>
      <c r="E246" s="85" t="s">
        <v>255</v>
      </c>
      <c r="F246" s="100"/>
    </row>
    <row r="247" spans="1:126" s="3" customFormat="1" outlineLevel="1" x14ac:dyDescent="0.3">
      <c r="A247" s="8"/>
      <c r="B247" s="8"/>
      <c r="C247" s="92" t="b">
        <v>0</v>
      </c>
      <c r="D247" s="84" t="str">
        <f>IF(C247=TRUE,5,"")</f>
        <v/>
      </c>
      <c r="E247" s="85" t="s">
        <v>256</v>
      </c>
      <c r="F247" s="10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</row>
    <row r="248" spans="1:126" outlineLevel="1" x14ac:dyDescent="0.3">
      <c r="C248" s="94"/>
      <c r="D248" s="82">
        <f>SUM(D249:D253)</f>
        <v>2</v>
      </c>
      <c r="E248" s="83" t="s">
        <v>257</v>
      </c>
      <c r="F248" s="100"/>
    </row>
    <row r="249" spans="1:126" outlineLevel="1" x14ac:dyDescent="0.3">
      <c r="C249" s="92" t="b">
        <v>0</v>
      </c>
      <c r="D249" s="84" t="str">
        <f>IF(C249=TRUE,1,"")</f>
        <v/>
      </c>
      <c r="E249" s="85" t="s">
        <v>258</v>
      </c>
      <c r="F249" s="100"/>
    </row>
    <row r="250" spans="1:126" outlineLevel="1" x14ac:dyDescent="0.3">
      <c r="C250" s="92" t="b">
        <v>1</v>
      </c>
      <c r="D250" s="84">
        <f>IF(C250=TRUE,2,"")</f>
        <v>2</v>
      </c>
      <c r="E250" s="85" t="s">
        <v>259</v>
      </c>
      <c r="F250" s="100"/>
    </row>
    <row r="251" spans="1:126" outlineLevel="1" x14ac:dyDescent="0.3">
      <c r="C251" s="92" t="b">
        <v>0</v>
      </c>
      <c r="D251" s="84" t="str">
        <f>IF(C251=TRUE,3,"")</f>
        <v/>
      </c>
      <c r="E251" s="85" t="s">
        <v>260</v>
      </c>
      <c r="F251" s="100"/>
    </row>
    <row r="252" spans="1:126" outlineLevel="1" x14ac:dyDescent="0.3">
      <c r="C252" s="92" t="b">
        <v>0</v>
      </c>
      <c r="D252" s="84" t="str">
        <f>IF(C252=TRUE,4,"")</f>
        <v/>
      </c>
      <c r="E252" s="85" t="s">
        <v>261</v>
      </c>
      <c r="F252" s="100"/>
    </row>
    <row r="253" spans="1:126" s="3" customFormat="1" outlineLevel="1" x14ac:dyDescent="0.3">
      <c r="A253" s="8"/>
      <c r="B253" s="8"/>
      <c r="C253" s="92" t="b">
        <v>0</v>
      </c>
      <c r="D253" s="84" t="str">
        <f>IF(C253=TRUE,5,"")</f>
        <v/>
      </c>
      <c r="E253" s="85" t="s">
        <v>262</v>
      </c>
      <c r="F253" s="10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</row>
    <row r="254" spans="1:126" outlineLevel="1" x14ac:dyDescent="0.3">
      <c r="C254" s="94"/>
      <c r="D254" s="82">
        <f>SUM(D255:D259)</f>
        <v>2</v>
      </c>
      <c r="E254" s="83" t="s">
        <v>263</v>
      </c>
      <c r="F254" s="100"/>
    </row>
    <row r="255" spans="1:126" outlineLevel="1" x14ac:dyDescent="0.3">
      <c r="C255" s="92" t="b">
        <v>0</v>
      </c>
      <c r="D255" s="84" t="str">
        <f>IF(C255=TRUE,1,"")</f>
        <v/>
      </c>
      <c r="E255" s="85" t="s">
        <v>264</v>
      </c>
      <c r="F255" s="100"/>
    </row>
    <row r="256" spans="1:126" outlineLevel="1" x14ac:dyDescent="0.3">
      <c r="C256" s="92" t="b">
        <v>1</v>
      </c>
      <c r="D256" s="84">
        <f>IF(C256=TRUE,2,"")</f>
        <v>2</v>
      </c>
      <c r="E256" s="85" t="s">
        <v>265</v>
      </c>
      <c r="F256" s="100"/>
    </row>
    <row r="257" spans="1:126" outlineLevel="1" x14ac:dyDescent="0.3">
      <c r="C257" s="92" t="b">
        <v>0</v>
      </c>
      <c r="D257" s="84" t="str">
        <f>IF(C257=TRUE,3,"")</f>
        <v/>
      </c>
      <c r="E257" s="85" t="s">
        <v>266</v>
      </c>
      <c r="F257" s="100"/>
    </row>
    <row r="258" spans="1:126" outlineLevel="1" x14ac:dyDescent="0.3">
      <c r="C258" s="92" t="b">
        <v>0</v>
      </c>
      <c r="D258" s="84" t="str">
        <f>IF(C258=TRUE,4,"")</f>
        <v/>
      </c>
      <c r="E258" s="85" t="s">
        <v>267</v>
      </c>
      <c r="F258" s="100"/>
    </row>
    <row r="259" spans="1:126" s="2" customFormat="1" ht="18" x14ac:dyDescent="0.35">
      <c r="A259" s="10"/>
      <c r="B259" s="10"/>
      <c r="C259" s="92" t="b">
        <v>0</v>
      </c>
      <c r="D259" s="84" t="str">
        <f>IF(C259=TRUE,5,"")</f>
        <v/>
      </c>
      <c r="E259" s="85" t="s">
        <v>268</v>
      </c>
      <c r="F259" s="10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</row>
    <row r="260" spans="1:126" s="12" customFormat="1" ht="18" x14ac:dyDescent="0.35">
      <c r="C260" s="95" t="s">
        <v>269</v>
      </c>
      <c r="D260" s="86">
        <f>AVERAGE(D262,D268,D274,D280,D286)</f>
        <v>3.4</v>
      </c>
      <c r="E260" s="87" t="s">
        <v>270</v>
      </c>
      <c r="F260" s="102"/>
    </row>
    <row r="261" spans="1:126" s="3" customFormat="1" ht="15" outlineLevel="1" thickBot="1" x14ac:dyDescent="0.35">
      <c r="A261" s="8"/>
      <c r="B261" s="8"/>
      <c r="C261" s="96"/>
      <c r="D261" s="89"/>
      <c r="E261" s="88" t="s">
        <v>271</v>
      </c>
      <c r="F261" s="10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</row>
    <row r="262" spans="1:126" outlineLevel="1" x14ac:dyDescent="0.3">
      <c r="C262" s="94"/>
      <c r="D262" s="82">
        <f>SUM(D263:D267)</f>
        <v>3</v>
      </c>
      <c r="E262" s="83" t="s">
        <v>272</v>
      </c>
      <c r="F262" s="100"/>
    </row>
    <row r="263" spans="1:126" outlineLevel="1" x14ac:dyDescent="0.3">
      <c r="C263" s="92" t="b">
        <v>0</v>
      </c>
      <c r="D263" s="84" t="str">
        <f>IF(C263=TRUE,1,"")</f>
        <v/>
      </c>
      <c r="E263" s="85" t="s">
        <v>273</v>
      </c>
      <c r="F263" s="100"/>
    </row>
    <row r="264" spans="1:126" outlineLevel="1" x14ac:dyDescent="0.3">
      <c r="C264" s="92" t="b">
        <v>0</v>
      </c>
      <c r="D264" s="84" t="str">
        <f>IF(C264=TRUE,2,"")</f>
        <v/>
      </c>
      <c r="E264" s="85" t="s">
        <v>274</v>
      </c>
      <c r="F264" s="100"/>
    </row>
    <row r="265" spans="1:126" outlineLevel="1" x14ac:dyDescent="0.3">
      <c r="C265" s="92" t="b">
        <v>1</v>
      </c>
      <c r="D265" s="84">
        <f>IF(C265=TRUE,3,"")</f>
        <v>3</v>
      </c>
      <c r="E265" s="85" t="s">
        <v>275</v>
      </c>
      <c r="F265" s="100"/>
    </row>
    <row r="266" spans="1:126" outlineLevel="1" x14ac:dyDescent="0.3">
      <c r="C266" s="92" t="b">
        <v>0</v>
      </c>
      <c r="D266" s="84" t="str">
        <f>IF(C266=TRUE,4,"")</f>
        <v/>
      </c>
      <c r="E266" s="85" t="s">
        <v>276</v>
      </c>
      <c r="F266" s="100"/>
    </row>
    <row r="267" spans="1:126" s="3" customFormat="1" outlineLevel="1" x14ac:dyDescent="0.3">
      <c r="A267" s="8"/>
      <c r="B267" s="8"/>
      <c r="C267" s="92" t="b">
        <v>0</v>
      </c>
      <c r="D267" s="84" t="str">
        <f>IF(C267=TRUE,5,"")</f>
        <v/>
      </c>
      <c r="E267" s="85" t="s">
        <v>277</v>
      </c>
      <c r="F267" s="10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</row>
    <row r="268" spans="1:126" outlineLevel="1" x14ac:dyDescent="0.3">
      <c r="C268" s="94"/>
      <c r="D268" s="82">
        <f>SUM(D269:D273)</f>
        <v>4</v>
      </c>
      <c r="E268" s="83" t="s">
        <v>278</v>
      </c>
      <c r="F268" s="100"/>
    </row>
    <row r="269" spans="1:126" outlineLevel="1" x14ac:dyDescent="0.3">
      <c r="C269" s="92" t="b">
        <v>0</v>
      </c>
      <c r="D269" s="84" t="str">
        <f>IF(C269=TRUE,1,"")</f>
        <v/>
      </c>
      <c r="E269" s="85" t="s">
        <v>279</v>
      </c>
      <c r="F269" s="100"/>
    </row>
    <row r="270" spans="1:126" outlineLevel="1" x14ac:dyDescent="0.3">
      <c r="C270" s="92" t="b">
        <v>0</v>
      </c>
      <c r="D270" s="84" t="str">
        <f>IF(C270=TRUE,2,"")</f>
        <v/>
      </c>
      <c r="E270" s="85" t="s">
        <v>280</v>
      </c>
      <c r="F270" s="100"/>
    </row>
    <row r="271" spans="1:126" outlineLevel="1" x14ac:dyDescent="0.3">
      <c r="C271" s="92" t="b">
        <v>0</v>
      </c>
      <c r="D271" s="84" t="str">
        <f>IF(C271=TRUE,3,"")</f>
        <v/>
      </c>
      <c r="E271" s="85" t="s">
        <v>281</v>
      </c>
      <c r="F271" s="100"/>
    </row>
    <row r="272" spans="1:126" outlineLevel="1" x14ac:dyDescent="0.3">
      <c r="C272" s="92" t="b">
        <v>1</v>
      </c>
      <c r="D272" s="84">
        <f>IF(C272=TRUE,4,"")</f>
        <v>4</v>
      </c>
      <c r="E272" s="85" t="s">
        <v>282</v>
      </c>
      <c r="F272" s="100"/>
    </row>
    <row r="273" spans="1:126" s="3" customFormat="1" outlineLevel="1" x14ac:dyDescent="0.3">
      <c r="A273" s="8"/>
      <c r="B273" s="8"/>
      <c r="C273" s="92" t="b">
        <v>0</v>
      </c>
      <c r="D273" s="84" t="str">
        <f>IF(C273=TRUE,5,"")</f>
        <v/>
      </c>
      <c r="E273" s="85" t="s">
        <v>283</v>
      </c>
      <c r="F273" s="10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</row>
    <row r="274" spans="1:126" outlineLevel="1" x14ac:dyDescent="0.3">
      <c r="C274" s="94"/>
      <c r="D274" s="82">
        <f>SUM(D275:D279)</f>
        <v>4</v>
      </c>
      <c r="E274" s="83" t="s">
        <v>284</v>
      </c>
      <c r="F274" s="100"/>
    </row>
    <row r="275" spans="1:126" outlineLevel="1" x14ac:dyDescent="0.3">
      <c r="C275" s="92" t="b">
        <v>0</v>
      </c>
      <c r="D275" s="84" t="str">
        <f>IF(C275=TRUE,1,"")</f>
        <v/>
      </c>
      <c r="E275" s="85" t="s">
        <v>285</v>
      </c>
      <c r="F275" s="100"/>
    </row>
    <row r="276" spans="1:126" outlineLevel="1" x14ac:dyDescent="0.3">
      <c r="C276" s="92" t="b">
        <v>0</v>
      </c>
      <c r="D276" s="84" t="str">
        <f>IF(C276=TRUE,2,"")</f>
        <v/>
      </c>
      <c r="E276" s="85" t="s">
        <v>286</v>
      </c>
      <c r="F276" s="100"/>
    </row>
    <row r="277" spans="1:126" outlineLevel="1" x14ac:dyDescent="0.3">
      <c r="C277" s="92" t="b">
        <v>0</v>
      </c>
      <c r="D277" s="84" t="str">
        <f>IF(C277=TRUE,3,"")</f>
        <v/>
      </c>
      <c r="E277" s="85" t="s">
        <v>287</v>
      </c>
      <c r="F277" s="100"/>
    </row>
    <row r="278" spans="1:126" outlineLevel="1" x14ac:dyDescent="0.3">
      <c r="C278" s="92" t="b">
        <v>1</v>
      </c>
      <c r="D278" s="84">
        <f>IF(C278=TRUE,4,"")</f>
        <v>4</v>
      </c>
      <c r="E278" s="85" t="s">
        <v>288</v>
      </c>
      <c r="F278" s="100"/>
    </row>
    <row r="279" spans="1:126" s="3" customFormat="1" outlineLevel="1" x14ac:dyDescent="0.3">
      <c r="A279" s="8"/>
      <c r="B279" s="8"/>
      <c r="C279" s="92" t="b">
        <v>0</v>
      </c>
      <c r="D279" s="84" t="str">
        <f>IF(C279=TRUE,5,"")</f>
        <v/>
      </c>
      <c r="E279" s="85" t="s">
        <v>289</v>
      </c>
      <c r="F279" s="10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</row>
    <row r="280" spans="1:126" outlineLevel="1" x14ac:dyDescent="0.3">
      <c r="C280" s="94"/>
      <c r="D280" s="82">
        <f>SUM(D281:D285)</f>
        <v>4</v>
      </c>
      <c r="E280" s="83" t="s">
        <v>290</v>
      </c>
      <c r="F280" s="100"/>
    </row>
    <row r="281" spans="1:126" outlineLevel="1" x14ac:dyDescent="0.3">
      <c r="C281" s="92" t="b">
        <v>0</v>
      </c>
      <c r="D281" s="84" t="str">
        <f>IF(C281=TRUE,1,"")</f>
        <v/>
      </c>
      <c r="E281" s="85" t="s">
        <v>291</v>
      </c>
      <c r="F281" s="100"/>
    </row>
    <row r="282" spans="1:126" outlineLevel="1" x14ac:dyDescent="0.3">
      <c r="C282" s="92" t="b">
        <v>0</v>
      </c>
      <c r="D282" s="84" t="str">
        <f>IF(C282=TRUE,2,"")</f>
        <v/>
      </c>
      <c r="E282" s="85" t="s">
        <v>292</v>
      </c>
      <c r="F282" s="100"/>
    </row>
    <row r="283" spans="1:126" outlineLevel="1" x14ac:dyDescent="0.3">
      <c r="C283" s="92" t="b">
        <v>0</v>
      </c>
      <c r="D283" s="84" t="str">
        <f>IF(C283=TRUE,3,"")</f>
        <v/>
      </c>
      <c r="E283" s="85" t="s">
        <v>293</v>
      </c>
      <c r="F283" s="100"/>
    </row>
    <row r="284" spans="1:126" outlineLevel="1" x14ac:dyDescent="0.3">
      <c r="C284" s="92" t="b">
        <v>1</v>
      </c>
      <c r="D284" s="84">
        <f>IF(C284=TRUE,4,"")</f>
        <v>4</v>
      </c>
      <c r="E284" s="85" t="s">
        <v>294</v>
      </c>
      <c r="F284" s="100"/>
    </row>
    <row r="285" spans="1:126" s="3" customFormat="1" outlineLevel="1" x14ac:dyDescent="0.3">
      <c r="A285" s="8"/>
      <c r="B285" s="8"/>
      <c r="C285" s="92" t="b">
        <v>0</v>
      </c>
      <c r="D285" s="84" t="str">
        <f>IF(C285=TRUE,5,"")</f>
        <v/>
      </c>
      <c r="E285" s="85" t="s">
        <v>295</v>
      </c>
      <c r="F285" s="10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</row>
    <row r="286" spans="1:126" outlineLevel="1" x14ac:dyDescent="0.3">
      <c r="C286" s="94"/>
      <c r="D286" s="82">
        <f>SUM(D287:D291)</f>
        <v>2</v>
      </c>
      <c r="E286" s="83" t="s">
        <v>296</v>
      </c>
      <c r="F286" s="100"/>
    </row>
    <row r="287" spans="1:126" outlineLevel="1" x14ac:dyDescent="0.3">
      <c r="C287" s="92" t="b">
        <v>0</v>
      </c>
      <c r="D287" s="84" t="str">
        <f>IF(C287=TRUE,1,"")</f>
        <v/>
      </c>
      <c r="E287" s="85" t="s">
        <v>297</v>
      </c>
      <c r="F287" s="100"/>
    </row>
    <row r="288" spans="1:126" outlineLevel="1" x14ac:dyDescent="0.3">
      <c r="C288" s="92" t="b">
        <v>1</v>
      </c>
      <c r="D288" s="84">
        <f>IF(C288=TRUE,2,"")</f>
        <v>2</v>
      </c>
      <c r="E288" s="85" t="s">
        <v>298</v>
      </c>
      <c r="F288" s="100"/>
    </row>
    <row r="289" spans="3:6" outlineLevel="1" x14ac:dyDescent="0.3">
      <c r="C289" s="92" t="b">
        <v>0</v>
      </c>
      <c r="D289" s="84" t="str">
        <f>IF(C289=TRUE,3,"")</f>
        <v/>
      </c>
      <c r="E289" s="85" t="s">
        <v>299</v>
      </c>
      <c r="F289" s="100"/>
    </row>
    <row r="290" spans="3:6" outlineLevel="1" x14ac:dyDescent="0.3">
      <c r="C290" s="92" t="b">
        <v>0</v>
      </c>
      <c r="D290" s="84" t="str">
        <f>IF(C290=TRUE,4,"")</f>
        <v/>
      </c>
      <c r="E290" s="85" t="s">
        <v>300</v>
      </c>
      <c r="F290" s="100"/>
    </row>
    <row r="291" spans="3:6" s="8" customFormat="1" ht="15" thickBot="1" x14ac:dyDescent="0.35">
      <c r="C291" s="93" t="b">
        <v>0</v>
      </c>
      <c r="D291" s="90" t="str">
        <f>IF(C291=TRUE,5,"")</f>
        <v/>
      </c>
      <c r="E291" s="91" t="s">
        <v>301</v>
      </c>
      <c r="F291" s="100"/>
    </row>
    <row r="292" spans="3:6" s="8" customFormat="1" x14ac:dyDescent="0.3">
      <c r="C292" s="13"/>
      <c r="D292" s="28"/>
    </row>
    <row r="293" spans="3:6" s="8" customFormat="1" x14ac:dyDescent="0.3">
      <c r="C293" s="13"/>
      <c r="D293" s="28"/>
    </row>
    <row r="294" spans="3:6" s="8" customFormat="1" x14ac:dyDescent="0.3">
      <c r="C294" s="13"/>
      <c r="D294" s="28"/>
    </row>
    <row r="295" spans="3:6" s="8" customFormat="1" x14ac:dyDescent="0.3">
      <c r="C295" s="13"/>
      <c r="D295" s="28"/>
    </row>
    <row r="296" spans="3:6" s="8" customFormat="1" x14ac:dyDescent="0.3">
      <c r="C296" s="13"/>
      <c r="D296" s="28"/>
    </row>
    <row r="297" spans="3:6" s="8" customFormat="1" x14ac:dyDescent="0.3">
      <c r="C297" s="13"/>
      <c r="D297" s="28"/>
    </row>
    <row r="298" spans="3:6" s="8" customFormat="1" x14ac:dyDescent="0.3">
      <c r="C298" s="13"/>
      <c r="D298" s="28"/>
    </row>
    <row r="299" spans="3:6" s="8" customFormat="1" x14ac:dyDescent="0.3">
      <c r="C299" s="13"/>
      <c r="D299" s="28"/>
    </row>
    <row r="300" spans="3:6" s="8" customFormat="1" x14ac:dyDescent="0.3">
      <c r="C300" s="13"/>
      <c r="D300" s="28"/>
    </row>
    <row r="301" spans="3:6" s="8" customFormat="1" x14ac:dyDescent="0.3">
      <c r="C301" s="13"/>
      <c r="D301" s="28"/>
    </row>
    <row r="302" spans="3:6" s="8" customFormat="1" x14ac:dyDescent="0.3">
      <c r="C302" s="13"/>
      <c r="D302" s="28"/>
    </row>
    <row r="303" spans="3:6" s="8" customFormat="1" x14ac:dyDescent="0.3">
      <c r="C303" s="13"/>
      <c r="D303" s="28"/>
    </row>
    <row r="304" spans="3:6" s="8" customFormat="1" x14ac:dyDescent="0.3">
      <c r="C304" s="13"/>
      <c r="D304" s="28"/>
    </row>
    <row r="305" spans="3:4" s="8" customFormat="1" x14ac:dyDescent="0.3">
      <c r="C305" s="13"/>
      <c r="D305" s="28"/>
    </row>
    <row r="306" spans="3:4" s="8" customFormat="1" x14ac:dyDescent="0.3">
      <c r="C306" s="13"/>
      <c r="D306" s="28"/>
    </row>
    <row r="307" spans="3:4" s="8" customFormat="1" x14ac:dyDescent="0.3">
      <c r="C307" s="13"/>
      <c r="D307" s="28"/>
    </row>
    <row r="308" spans="3:4" s="8" customFormat="1" x14ac:dyDescent="0.3">
      <c r="C308" s="13"/>
      <c r="D308" s="28"/>
    </row>
    <row r="309" spans="3:4" s="8" customFormat="1" x14ac:dyDescent="0.3">
      <c r="C309" s="13"/>
      <c r="D309" s="28"/>
    </row>
    <row r="310" spans="3:4" s="8" customFormat="1" x14ac:dyDescent="0.3">
      <c r="C310" s="13"/>
      <c r="D310" s="28"/>
    </row>
    <row r="311" spans="3:4" s="8" customFormat="1" x14ac:dyDescent="0.3">
      <c r="C311" s="13"/>
      <c r="D311" s="28"/>
    </row>
    <row r="312" spans="3:4" s="8" customFormat="1" x14ac:dyDescent="0.3">
      <c r="C312" s="13"/>
      <c r="D312" s="28"/>
    </row>
    <row r="313" spans="3:4" s="8" customFormat="1" x14ac:dyDescent="0.3">
      <c r="C313" s="13"/>
      <c r="D313" s="28"/>
    </row>
    <row r="314" spans="3:4" s="8" customFormat="1" x14ac:dyDescent="0.3">
      <c r="C314" s="13"/>
      <c r="D314" s="28"/>
    </row>
    <row r="315" spans="3:4" s="8" customFormat="1" x14ac:dyDescent="0.3">
      <c r="C315" s="13"/>
      <c r="D315" s="28"/>
    </row>
    <row r="316" spans="3:4" s="8" customFormat="1" x14ac:dyDescent="0.3">
      <c r="C316" s="13"/>
      <c r="D316" s="28"/>
    </row>
    <row r="317" spans="3:4" s="8" customFormat="1" x14ac:dyDescent="0.3">
      <c r="C317" s="13"/>
      <c r="D317" s="28"/>
    </row>
    <row r="318" spans="3:4" s="8" customFormat="1" x14ac:dyDescent="0.3">
      <c r="C318" s="13"/>
      <c r="D318" s="28"/>
    </row>
    <row r="319" spans="3:4" s="8" customFormat="1" x14ac:dyDescent="0.3">
      <c r="C319" s="13"/>
      <c r="D319" s="28"/>
    </row>
    <row r="320" spans="3:4" s="8" customFormat="1" x14ac:dyDescent="0.3">
      <c r="C320" s="13"/>
      <c r="D320" s="28"/>
    </row>
    <row r="321" spans="3:4" s="8" customFormat="1" x14ac:dyDescent="0.3">
      <c r="C321" s="13"/>
      <c r="D321" s="28"/>
    </row>
    <row r="322" spans="3:4" s="8" customFormat="1" x14ac:dyDescent="0.3">
      <c r="C322" s="13"/>
      <c r="D322" s="28"/>
    </row>
    <row r="323" spans="3:4" s="8" customFormat="1" x14ac:dyDescent="0.3">
      <c r="C323" s="13"/>
      <c r="D323" s="28"/>
    </row>
    <row r="324" spans="3:4" s="8" customFormat="1" x14ac:dyDescent="0.3">
      <c r="C324" s="13"/>
      <c r="D324" s="28"/>
    </row>
    <row r="325" spans="3:4" s="8" customFormat="1" x14ac:dyDescent="0.3">
      <c r="C325" s="13"/>
      <c r="D325" s="28"/>
    </row>
    <row r="326" spans="3:4" s="8" customFormat="1" x14ac:dyDescent="0.3">
      <c r="C326" s="13"/>
      <c r="D326" s="28"/>
    </row>
    <row r="327" spans="3:4" s="8" customFormat="1" x14ac:dyDescent="0.3">
      <c r="C327" s="13"/>
      <c r="D327" s="28"/>
    </row>
    <row r="328" spans="3:4" s="8" customFormat="1" x14ac:dyDescent="0.3">
      <c r="C328" s="13"/>
      <c r="D328" s="28"/>
    </row>
    <row r="329" spans="3:4" s="8" customFormat="1" x14ac:dyDescent="0.3">
      <c r="C329" s="13"/>
      <c r="D329" s="28"/>
    </row>
    <row r="330" spans="3:4" s="8" customFormat="1" x14ac:dyDescent="0.3">
      <c r="C330" s="13"/>
      <c r="D330" s="28"/>
    </row>
    <row r="331" spans="3:4" s="8" customFormat="1" x14ac:dyDescent="0.3">
      <c r="C331" s="13"/>
      <c r="D331" s="28"/>
    </row>
    <row r="332" spans="3:4" s="8" customFormat="1" x14ac:dyDescent="0.3">
      <c r="C332" s="13"/>
      <c r="D332" s="28"/>
    </row>
    <row r="333" spans="3:4" s="8" customFormat="1" x14ac:dyDescent="0.3">
      <c r="C333" s="13"/>
      <c r="D333" s="28"/>
    </row>
    <row r="334" spans="3:4" s="8" customFormat="1" x14ac:dyDescent="0.3">
      <c r="C334" s="13"/>
      <c r="D334" s="28"/>
    </row>
    <row r="335" spans="3:4" s="8" customFormat="1" x14ac:dyDescent="0.3">
      <c r="C335" s="13"/>
      <c r="D335" s="28"/>
    </row>
    <row r="336" spans="3:4" s="8" customFormat="1" x14ac:dyDescent="0.3">
      <c r="C336" s="13"/>
      <c r="D336" s="28"/>
    </row>
    <row r="337" spans="3:4" s="8" customFormat="1" x14ac:dyDescent="0.3">
      <c r="C337" s="13"/>
      <c r="D337" s="28"/>
    </row>
    <row r="338" spans="3:4" s="8" customFormat="1" x14ac:dyDescent="0.3">
      <c r="C338" s="13"/>
      <c r="D338" s="28"/>
    </row>
    <row r="339" spans="3:4" s="8" customFormat="1" x14ac:dyDescent="0.3">
      <c r="C339" s="13"/>
      <c r="D339" s="28"/>
    </row>
    <row r="340" spans="3:4" s="8" customFormat="1" x14ac:dyDescent="0.3">
      <c r="C340" s="13"/>
      <c r="D340" s="28"/>
    </row>
    <row r="341" spans="3:4" s="8" customFormat="1" x14ac:dyDescent="0.3">
      <c r="C341" s="13"/>
      <c r="D341" s="28"/>
    </row>
    <row r="342" spans="3:4" s="8" customFormat="1" x14ac:dyDescent="0.3">
      <c r="C342" s="13"/>
      <c r="D342" s="28"/>
    </row>
    <row r="343" spans="3:4" s="8" customFormat="1" x14ac:dyDescent="0.3">
      <c r="C343" s="13"/>
      <c r="D343" s="28"/>
    </row>
    <row r="344" spans="3:4" s="8" customFormat="1" x14ac:dyDescent="0.3">
      <c r="C344" s="13"/>
      <c r="D344" s="28"/>
    </row>
    <row r="345" spans="3:4" s="8" customFormat="1" x14ac:dyDescent="0.3">
      <c r="C345" s="13"/>
      <c r="D345" s="28"/>
    </row>
    <row r="346" spans="3:4" s="8" customFormat="1" x14ac:dyDescent="0.3">
      <c r="C346" s="13"/>
      <c r="D346" s="28"/>
    </row>
    <row r="347" spans="3:4" s="8" customFormat="1" x14ac:dyDescent="0.3">
      <c r="C347" s="13"/>
      <c r="D347" s="28"/>
    </row>
    <row r="348" spans="3:4" s="8" customFormat="1" x14ac:dyDescent="0.3">
      <c r="C348" s="13"/>
      <c r="D348" s="28"/>
    </row>
    <row r="349" spans="3:4" s="8" customFormat="1" x14ac:dyDescent="0.3">
      <c r="C349" s="13"/>
      <c r="D349" s="28"/>
    </row>
    <row r="350" spans="3:4" s="8" customFormat="1" x14ac:dyDescent="0.3">
      <c r="C350" s="13"/>
      <c r="D350" s="28"/>
    </row>
    <row r="351" spans="3:4" s="8" customFormat="1" x14ac:dyDescent="0.3">
      <c r="C351" s="13"/>
      <c r="D351" s="28"/>
    </row>
    <row r="352" spans="3:4" s="8" customFormat="1" x14ac:dyDescent="0.3">
      <c r="C352" s="13"/>
      <c r="D352" s="28"/>
    </row>
    <row r="353" spans="3:4" s="8" customFormat="1" x14ac:dyDescent="0.3">
      <c r="C353" s="13"/>
      <c r="D353" s="28"/>
    </row>
    <row r="354" spans="3:4" s="8" customFormat="1" x14ac:dyDescent="0.3">
      <c r="C354" s="13"/>
      <c r="D354" s="28"/>
    </row>
    <row r="355" spans="3:4" s="8" customFormat="1" x14ac:dyDescent="0.3">
      <c r="C355" s="13"/>
      <c r="D355" s="28"/>
    </row>
    <row r="356" spans="3:4" s="8" customFormat="1" x14ac:dyDescent="0.3">
      <c r="C356" s="13"/>
      <c r="D356" s="28"/>
    </row>
    <row r="357" spans="3:4" s="8" customFormat="1" x14ac:dyDescent="0.3">
      <c r="C357" s="13"/>
      <c r="D357" s="28"/>
    </row>
    <row r="358" spans="3:4" s="8" customFormat="1" x14ac:dyDescent="0.3">
      <c r="C358" s="13"/>
      <c r="D358" s="28"/>
    </row>
    <row r="359" spans="3:4" s="8" customFormat="1" x14ac:dyDescent="0.3">
      <c r="C359" s="13"/>
      <c r="D359" s="28"/>
    </row>
    <row r="360" spans="3:4" s="8" customFormat="1" x14ac:dyDescent="0.3">
      <c r="C360" s="13"/>
      <c r="D360" s="28"/>
    </row>
    <row r="361" spans="3:4" s="8" customFormat="1" x14ac:dyDescent="0.3">
      <c r="C361" s="13"/>
      <c r="D361" s="28"/>
    </row>
    <row r="362" spans="3:4" s="8" customFormat="1" x14ac:dyDescent="0.3">
      <c r="C362" s="13"/>
      <c r="D362" s="28"/>
    </row>
    <row r="363" spans="3:4" s="8" customFormat="1" x14ac:dyDescent="0.3">
      <c r="C363" s="13"/>
      <c r="D363" s="28"/>
    </row>
    <row r="364" spans="3:4" s="8" customFormat="1" x14ac:dyDescent="0.3">
      <c r="C364" s="13"/>
      <c r="D364" s="28"/>
    </row>
    <row r="365" spans="3:4" s="8" customFormat="1" x14ac:dyDescent="0.3">
      <c r="C365" s="13"/>
      <c r="D365" s="28"/>
    </row>
    <row r="366" spans="3:4" s="8" customFormat="1" x14ac:dyDescent="0.3">
      <c r="C366" s="13"/>
      <c r="D366" s="28"/>
    </row>
    <row r="367" spans="3:4" s="8" customFormat="1" x14ac:dyDescent="0.3">
      <c r="C367" s="13"/>
      <c r="D367" s="28"/>
    </row>
    <row r="368" spans="3:4" s="8" customFormat="1" x14ac:dyDescent="0.3">
      <c r="C368" s="13"/>
      <c r="D368" s="28"/>
    </row>
    <row r="369" spans="3:4" s="8" customFormat="1" x14ac:dyDescent="0.3">
      <c r="C369" s="13"/>
      <c r="D369" s="28"/>
    </row>
    <row r="370" spans="3:4" s="8" customFormat="1" x14ac:dyDescent="0.3">
      <c r="C370" s="13"/>
      <c r="D370" s="28"/>
    </row>
    <row r="371" spans="3:4" s="8" customFormat="1" x14ac:dyDescent="0.3">
      <c r="C371" s="13"/>
      <c r="D371" s="28"/>
    </row>
    <row r="372" spans="3:4" s="8" customFormat="1" x14ac:dyDescent="0.3">
      <c r="C372" s="13"/>
      <c r="D372" s="28"/>
    </row>
    <row r="373" spans="3:4" s="8" customFormat="1" x14ac:dyDescent="0.3">
      <c r="C373" s="13"/>
      <c r="D373" s="28"/>
    </row>
    <row r="374" spans="3:4" s="8" customFormat="1" x14ac:dyDescent="0.3">
      <c r="C374" s="13"/>
      <c r="D374" s="28"/>
    </row>
    <row r="375" spans="3:4" s="8" customFormat="1" x14ac:dyDescent="0.3">
      <c r="C375" s="13"/>
      <c r="D375" s="28"/>
    </row>
    <row r="376" spans="3:4" s="8" customFormat="1" x14ac:dyDescent="0.3">
      <c r="C376" s="13"/>
      <c r="D376" s="28"/>
    </row>
    <row r="377" spans="3:4" s="8" customFormat="1" x14ac:dyDescent="0.3">
      <c r="C377" s="13"/>
      <c r="D377" s="28"/>
    </row>
    <row r="378" spans="3:4" s="8" customFormat="1" x14ac:dyDescent="0.3">
      <c r="C378" s="13"/>
      <c r="D378" s="28"/>
    </row>
    <row r="379" spans="3:4" s="8" customFormat="1" x14ac:dyDescent="0.3">
      <c r="C379" s="13"/>
      <c r="D379" s="28"/>
    </row>
    <row r="380" spans="3:4" s="8" customFormat="1" x14ac:dyDescent="0.3">
      <c r="C380" s="13"/>
      <c r="D380" s="28"/>
    </row>
    <row r="381" spans="3:4" s="8" customFormat="1" x14ac:dyDescent="0.3">
      <c r="C381" s="13"/>
      <c r="D381" s="28"/>
    </row>
    <row r="382" spans="3:4" s="8" customFormat="1" x14ac:dyDescent="0.3">
      <c r="C382" s="13"/>
      <c r="D382" s="28"/>
    </row>
    <row r="383" spans="3:4" s="8" customFormat="1" x14ac:dyDescent="0.3">
      <c r="C383" s="13"/>
      <c r="D383" s="28"/>
    </row>
    <row r="384" spans="3:4" s="8" customFormat="1" x14ac:dyDescent="0.3">
      <c r="C384" s="13"/>
      <c r="D384" s="28"/>
    </row>
    <row r="385" spans="3:4" s="8" customFormat="1" x14ac:dyDescent="0.3">
      <c r="C385" s="13"/>
      <c r="D385" s="28"/>
    </row>
    <row r="386" spans="3:4" s="8" customFormat="1" x14ac:dyDescent="0.3">
      <c r="C386" s="13"/>
      <c r="D386" s="28"/>
    </row>
    <row r="387" spans="3:4" s="8" customFormat="1" x14ac:dyDescent="0.3">
      <c r="C387" s="13"/>
      <c r="D387" s="28"/>
    </row>
    <row r="388" spans="3:4" s="8" customFormat="1" x14ac:dyDescent="0.3">
      <c r="C388" s="13"/>
      <c r="D388" s="28"/>
    </row>
    <row r="389" spans="3:4" s="8" customFormat="1" x14ac:dyDescent="0.3">
      <c r="C389" s="13"/>
      <c r="D389" s="28"/>
    </row>
    <row r="390" spans="3:4" s="8" customFormat="1" x14ac:dyDescent="0.3">
      <c r="C390" s="13"/>
      <c r="D390" s="28"/>
    </row>
    <row r="391" spans="3:4" s="8" customFormat="1" x14ac:dyDescent="0.3">
      <c r="C391" s="13"/>
      <c r="D391" s="28"/>
    </row>
    <row r="392" spans="3:4" s="8" customFormat="1" x14ac:dyDescent="0.3">
      <c r="C392" s="13"/>
      <c r="D392" s="28"/>
    </row>
    <row r="393" spans="3:4" s="8" customFormat="1" x14ac:dyDescent="0.3">
      <c r="C393" s="13"/>
      <c r="D393" s="28"/>
    </row>
    <row r="394" spans="3:4" s="8" customFormat="1" x14ac:dyDescent="0.3">
      <c r="C394" s="13"/>
      <c r="D394" s="28"/>
    </row>
    <row r="395" spans="3:4" s="8" customFormat="1" x14ac:dyDescent="0.3">
      <c r="C395" s="13"/>
      <c r="D395" s="28"/>
    </row>
    <row r="396" spans="3:4" s="8" customFormat="1" x14ac:dyDescent="0.3">
      <c r="C396" s="13"/>
      <c r="D396" s="28"/>
    </row>
    <row r="397" spans="3:4" s="8" customFormat="1" x14ac:dyDescent="0.3">
      <c r="C397" s="13"/>
      <c r="D397" s="28"/>
    </row>
    <row r="398" spans="3:4" s="8" customFormat="1" x14ac:dyDescent="0.3">
      <c r="C398" s="13"/>
      <c r="D398" s="28"/>
    </row>
    <row r="399" spans="3:4" s="8" customFormat="1" x14ac:dyDescent="0.3">
      <c r="C399" s="13"/>
      <c r="D399" s="28"/>
    </row>
    <row r="400" spans="3:4" s="8" customFormat="1" x14ac:dyDescent="0.3">
      <c r="C400" s="13"/>
      <c r="D400" s="28"/>
    </row>
    <row r="401" spans="3:4" s="8" customFormat="1" x14ac:dyDescent="0.3">
      <c r="C401" s="13"/>
      <c r="D401" s="28"/>
    </row>
    <row r="402" spans="3:4" s="8" customFormat="1" x14ac:dyDescent="0.3">
      <c r="C402" s="13"/>
      <c r="D402" s="28"/>
    </row>
    <row r="403" spans="3:4" s="8" customFormat="1" x14ac:dyDescent="0.3">
      <c r="C403" s="13"/>
      <c r="D403" s="28"/>
    </row>
    <row r="404" spans="3:4" s="8" customFormat="1" x14ac:dyDescent="0.3">
      <c r="C404" s="13"/>
      <c r="D404" s="28"/>
    </row>
    <row r="405" spans="3:4" s="8" customFormat="1" x14ac:dyDescent="0.3">
      <c r="C405" s="13"/>
      <c r="D405" s="28"/>
    </row>
    <row r="406" spans="3:4" s="8" customFormat="1" x14ac:dyDescent="0.3">
      <c r="C406" s="13"/>
      <c r="D406" s="28"/>
    </row>
    <row r="407" spans="3:4" s="8" customFormat="1" x14ac:dyDescent="0.3">
      <c r="C407" s="13"/>
      <c r="D407" s="28"/>
    </row>
    <row r="408" spans="3:4" s="8" customFormat="1" x14ac:dyDescent="0.3">
      <c r="C408" s="13"/>
      <c r="D408" s="28"/>
    </row>
    <row r="409" spans="3:4" s="8" customFormat="1" x14ac:dyDescent="0.3">
      <c r="C409" s="13"/>
      <c r="D409" s="28"/>
    </row>
    <row r="410" spans="3:4" s="8" customFormat="1" x14ac:dyDescent="0.3">
      <c r="C410" s="13"/>
      <c r="D410" s="28"/>
    </row>
    <row r="411" spans="3:4" s="8" customFormat="1" x14ac:dyDescent="0.3">
      <c r="C411" s="13"/>
      <c r="D411" s="28"/>
    </row>
    <row r="412" spans="3:4" s="8" customFormat="1" x14ac:dyDescent="0.3">
      <c r="C412" s="13"/>
      <c r="D412" s="28"/>
    </row>
    <row r="413" spans="3:4" s="8" customFormat="1" x14ac:dyDescent="0.3">
      <c r="C413" s="13"/>
      <c r="D413" s="28"/>
    </row>
    <row r="414" spans="3:4" s="8" customFormat="1" x14ac:dyDescent="0.3">
      <c r="C414" s="13"/>
      <c r="D414" s="28"/>
    </row>
    <row r="415" spans="3:4" s="8" customFormat="1" x14ac:dyDescent="0.3">
      <c r="C415" s="13"/>
      <c r="D415" s="28"/>
    </row>
    <row r="416" spans="3:4" s="8" customFormat="1" x14ac:dyDescent="0.3">
      <c r="C416" s="13"/>
      <c r="D416" s="28"/>
    </row>
    <row r="417" spans="3:4" s="8" customFormat="1" x14ac:dyDescent="0.3">
      <c r="C417" s="13"/>
      <c r="D417" s="28"/>
    </row>
    <row r="418" spans="3:4" s="8" customFormat="1" x14ac:dyDescent="0.3">
      <c r="C418" s="13"/>
      <c r="D418" s="28"/>
    </row>
    <row r="419" spans="3:4" s="8" customFormat="1" x14ac:dyDescent="0.3">
      <c r="C419" s="13"/>
      <c r="D419" s="28"/>
    </row>
    <row r="420" spans="3:4" s="8" customFormat="1" x14ac:dyDescent="0.3">
      <c r="C420" s="13"/>
      <c r="D420" s="28"/>
    </row>
    <row r="421" spans="3:4" s="8" customFormat="1" x14ac:dyDescent="0.3">
      <c r="C421" s="13"/>
      <c r="D421" s="28"/>
    </row>
    <row r="422" spans="3:4" s="8" customFormat="1" x14ac:dyDescent="0.3">
      <c r="C422" s="13"/>
      <c r="D422" s="28"/>
    </row>
    <row r="423" spans="3:4" s="8" customFormat="1" x14ac:dyDescent="0.3">
      <c r="C423" s="13"/>
      <c r="D423" s="28"/>
    </row>
    <row r="424" spans="3:4" s="8" customFormat="1" x14ac:dyDescent="0.3">
      <c r="C424" s="13"/>
      <c r="D424" s="28"/>
    </row>
    <row r="425" spans="3:4" s="8" customFormat="1" x14ac:dyDescent="0.3">
      <c r="C425" s="13"/>
      <c r="D425" s="28"/>
    </row>
    <row r="426" spans="3:4" s="8" customFormat="1" x14ac:dyDescent="0.3">
      <c r="C426" s="13"/>
      <c r="D426" s="28"/>
    </row>
    <row r="427" spans="3:4" s="8" customFormat="1" x14ac:dyDescent="0.3">
      <c r="C427" s="13"/>
      <c r="D427" s="28"/>
    </row>
    <row r="428" spans="3:4" s="8" customFormat="1" x14ac:dyDescent="0.3">
      <c r="C428" s="13"/>
      <c r="D428" s="28"/>
    </row>
    <row r="429" spans="3:4" s="8" customFormat="1" x14ac:dyDescent="0.3">
      <c r="C429" s="13"/>
      <c r="D429" s="28"/>
    </row>
    <row r="430" spans="3:4" s="8" customFormat="1" x14ac:dyDescent="0.3">
      <c r="C430" s="13"/>
      <c r="D430" s="28"/>
    </row>
    <row r="431" spans="3:4" s="8" customFormat="1" x14ac:dyDescent="0.3">
      <c r="C431" s="13"/>
      <c r="D431" s="28"/>
    </row>
    <row r="432" spans="3:4" s="8" customFormat="1" x14ac:dyDescent="0.3">
      <c r="C432" s="13"/>
      <c r="D432" s="28"/>
    </row>
    <row r="433" spans="3:4" s="8" customFormat="1" x14ac:dyDescent="0.3">
      <c r="C433" s="13"/>
      <c r="D433" s="28"/>
    </row>
    <row r="434" spans="3:4" s="8" customFormat="1" x14ac:dyDescent="0.3">
      <c r="C434" s="13"/>
      <c r="D434" s="28"/>
    </row>
    <row r="435" spans="3:4" s="8" customFormat="1" x14ac:dyDescent="0.3">
      <c r="C435" s="13"/>
      <c r="D435" s="28"/>
    </row>
    <row r="436" spans="3:4" s="8" customFormat="1" x14ac:dyDescent="0.3">
      <c r="C436" s="13"/>
      <c r="D436" s="28"/>
    </row>
    <row r="437" spans="3:4" s="8" customFormat="1" x14ac:dyDescent="0.3">
      <c r="C437" s="13"/>
      <c r="D437" s="28"/>
    </row>
    <row r="438" spans="3:4" s="8" customFormat="1" x14ac:dyDescent="0.3">
      <c r="C438" s="13"/>
      <c r="D438" s="28"/>
    </row>
    <row r="439" spans="3:4" s="8" customFormat="1" x14ac:dyDescent="0.3">
      <c r="C439" s="13"/>
      <c r="D439" s="28"/>
    </row>
    <row r="440" spans="3:4" s="8" customFormat="1" x14ac:dyDescent="0.3">
      <c r="C440" s="13"/>
      <c r="D440" s="28"/>
    </row>
    <row r="441" spans="3:4" s="8" customFormat="1" x14ac:dyDescent="0.3">
      <c r="C441" s="13"/>
      <c r="D441" s="28"/>
    </row>
    <row r="442" spans="3:4" s="8" customFormat="1" x14ac:dyDescent="0.3">
      <c r="C442" s="13"/>
      <c r="D442" s="28"/>
    </row>
    <row r="443" spans="3:4" s="8" customFormat="1" x14ac:dyDescent="0.3">
      <c r="C443" s="13"/>
      <c r="D443" s="28"/>
    </row>
    <row r="444" spans="3:4" s="8" customFormat="1" x14ac:dyDescent="0.3">
      <c r="C444" s="13"/>
      <c r="D444" s="28"/>
    </row>
    <row r="445" spans="3:4" s="8" customFormat="1" x14ac:dyDescent="0.3">
      <c r="C445" s="13"/>
      <c r="D445" s="28"/>
    </row>
    <row r="446" spans="3:4" s="8" customFormat="1" x14ac:dyDescent="0.3">
      <c r="C446" s="13"/>
      <c r="D446" s="28"/>
    </row>
    <row r="447" spans="3:4" s="8" customFormat="1" x14ac:dyDescent="0.3">
      <c r="C447" s="13"/>
      <c r="D447" s="28"/>
    </row>
    <row r="448" spans="3:4" s="8" customFormat="1" x14ac:dyDescent="0.3">
      <c r="C448" s="13"/>
      <c r="D448" s="28"/>
    </row>
    <row r="449" spans="3:4" s="8" customFormat="1" x14ac:dyDescent="0.3">
      <c r="C449" s="13"/>
      <c r="D449" s="28"/>
    </row>
    <row r="450" spans="3:4" s="8" customFormat="1" x14ac:dyDescent="0.3">
      <c r="C450" s="13"/>
      <c r="D450" s="28"/>
    </row>
    <row r="451" spans="3:4" s="8" customFormat="1" x14ac:dyDescent="0.3">
      <c r="C451" s="13"/>
      <c r="D451" s="28"/>
    </row>
    <row r="452" spans="3:4" s="8" customFormat="1" x14ac:dyDescent="0.3">
      <c r="C452" s="13"/>
      <c r="D452" s="28"/>
    </row>
    <row r="453" spans="3:4" s="8" customFormat="1" x14ac:dyDescent="0.3">
      <c r="C453" s="13"/>
      <c r="D453" s="28"/>
    </row>
    <row r="454" spans="3:4" s="8" customFormat="1" x14ac:dyDescent="0.3">
      <c r="C454" s="13"/>
      <c r="D454" s="28"/>
    </row>
    <row r="455" spans="3:4" s="8" customFormat="1" x14ac:dyDescent="0.3">
      <c r="C455" s="13"/>
      <c r="D455" s="28"/>
    </row>
    <row r="456" spans="3:4" s="8" customFormat="1" x14ac:dyDescent="0.3">
      <c r="C456" s="13"/>
      <c r="D456" s="28"/>
    </row>
    <row r="457" spans="3:4" s="8" customFormat="1" x14ac:dyDescent="0.3">
      <c r="C457" s="13"/>
      <c r="D457" s="28"/>
    </row>
    <row r="458" spans="3:4" s="8" customFormat="1" x14ac:dyDescent="0.3">
      <c r="C458" s="13"/>
      <c r="D458" s="28"/>
    </row>
    <row r="459" spans="3:4" s="8" customFormat="1" x14ac:dyDescent="0.3">
      <c r="C459" s="13"/>
      <c r="D459" s="28"/>
    </row>
    <row r="460" spans="3:4" s="8" customFormat="1" x14ac:dyDescent="0.3">
      <c r="C460" s="13"/>
      <c r="D460" s="28"/>
    </row>
    <row r="461" spans="3:4" s="8" customFormat="1" x14ac:dyDescent="0.3">
      <c r="C461" s="13"/>
      <c r="D461" s="28"/>
    </row>
    <row r="462" spans="3:4" s="8" customFormat="1" x14ac:dyDescent="0.3">
      <c r="C462" s="13"/>
      <c r="D462" s="28"/>
    </row>
    <row r="463" spans="3:4" s="8" customFormat="1" x14ac:dyDescent="0.3">
      <c r="C463" s="13"/>
      <c r="D463" s="28"/>
    </row>
    <row r="464" spans="3:4" s="8" customFormat="1" x14ac:dyDescent="0.3">
      <c r="C464" s="13"/>
      <c r="D464" s="28"/>
    </row>
    <row r="465" spans="3:4" s="8" customFormat="1" x14ac:dyDescent="0.3">
      <c r="C465" s="13"/>
      <c r="D465" s="28"/>
    </row>
    <row r="466" spans="3:4" s="8" customFormat="1" x14ac:dyDescent="0.3">
      <c r="C466" s="13"/>
      <c r="D466" s="28"/>
    </row>
    <row r="467" spans="3:4" s="8" customFormat="1" x14ac:dyDescent="0.3">
      <c r="C467" s="13"/>
      <c r="D467" s="28"/>
    </row>
    <row r="468" spans="3:4" s="8" customFormat="1" x14ac:dyDescent="0.3">
      <c r="C468" s="13"/>
      <c r="D468" s="28"/>
    </row>
    <row r="469" spans="3:4" s="8" customFormat="1" x14ac:dyDescent="0.3">
      <c r="C469" s="13"/>
      <c r="D469" s="28"/>
    </row>
    <row r="470" spans="3:4" s="8" customFormat="1" x14ac:dyDescent="0.3">
      <c r="C470" s="13"/>
      <c r="D470" s="28"/>
    </row>
    <row r="471" spans="3:4" s="8" customFormat="1" x14ac:dyDescent="0.3">
      <c r="C471" s="13"/>
      <c r="D471" s="28"/>
    </row>
    <row r="472" spans="3:4" s="8" customFormat="1" x14ac:dyDescent="0.3">
      <c r="C472" s="13"/>
      <c r="D472" s="28"/>
    </row>
    <row r="473" spans="3:4" s="8" customFormat="1" x14ac:dyDescent="0.3">
      <c r="C473" s="13"/>
      <c r="D473" s="28"/>
    </row>
    <row r="474" spans="3:4" s="8" customFormat="1" x14ac:dyDescent="0.3">
      <c r="C474" s="13"/>
      <c r="D474" s="28"/>
    </row>
    <row r="475" spans="3:4" s="8" customFormat="1" x14ac:dyDescent="0.3">
      <c r="C475" s="13"/>
      <c r="D475" s="28"/>
    </row>
    <row r="476" spans="3:4" s="8" customFormat="1" x14ac:dyDescent="0.3">
      <c r="C476" s="13"/>
      <c r="D476" s="28"/>
    </row>
    <row r="477" spans="3:4" s="8" customFormat="1" x14ac:dyDescent="0.3">
      <c r="C477" s="13"/>
      <c r="D477" s="28"/>
    </row>
    <row r="478" spans="3:4" s="8" customFormat="1" x14ac:dyDescent="0.3">
      <c r="C478" s="13"/>
      <c r="D478" s="28"/>
    </row>
    <row r="479" spans="3:4" s="8" customFormat="1" x14ac:dyDescent="0.3">
      <c r="C479" s="13"/>
      <c r="D479" s="28"/>
    </row>
    <row r="480" spans="3:4" s="8" customFormat="1" x14ac:dyDescent="0.3">
      <c r="C480" s="13"/>
      <c r="D480" s="28"/>
    </row>
    <row r="481" spans="3:4" s="8" customFormat="1" x14ac:dyDescent="0.3">
      <c r="C481" s="13"/>
      <c r="D481" s="28"/>
    </row>
    <row r="482" spans="3:4" s="8" customFormat="1" x14ac:dyDescent="0.3">
      <c r="C482" s="13"/>
      <c r="D482" s="28"/>
    </row>
    <row r="483" spans="3:4" s="8" customFormat="1" x14ac:dyDescent="0.3">
      <c r="C483" s="13"/>
      <c r="D483" s="28"/>
    </row>
    <row r="484" spans="3:4" s="8" customFormat="1" x14ac:dyDescent="0.3">
      <c r="C484" s="13"/>
      <c r="D484" s="28"/>
    </row>
    <row r="485" spans="3:4" s="8" customFormat="1" x14ac:dyDescent="0.3">
      <c r="C485" s="13"/>
      <c r="D485" s="28"/>
    </row>
    <row r="486" spans="3:4" s="8" customFormat="1" x14ac:dyDescent="0.3">
      <c r="C486" s="13"/>
      <c r="D486" s="28"/>
    </row>
    <row r="487" spans="3:4" s="8" customFormat="1" x14ac:dyDescent="0.3">
      <c r="C487" s="13"/>
      <c r="D487" s="28"/>
    </row>
    <row r="488" spans="3:4" s="8" customFormat="1" x14ac:dyDescent="0.3">
      <c r="C488" s="13"/>
      <c r="D488" s="28"/>
    </row>
    <row r="489" spans="3:4" s="8" customFormat="1" x14ac:dyDescent="0.3">
      <c r="C489" s="13"/>
      <c r="D489" s="28"/>
    </row>
    <row r="490" spans="3:4" s="8" customFormat="1" x14ac:dyDescent="0.3">
      <c r="C490" s="13"/>
      <c r="D490" s="28"/>
    </row>
    <row r="491" spans="3:4" s="8" customFormat="1" x14ac:dyDescent="0.3">
      <c r="C491" s="13"/>
      <c r="D491" s="28"/>
    </row>
    <row r="492" spans="3:4" s="8" customFormat="1" x14ac:dyDescent="0.3">
      <c r="C492" s="13"/>
      <c r="D492" s="28"/>
    </row>
    <row r="493" spans="3:4" s="8" customFormat="1" x14ac:dyDescent="0.3">
      <c r="C493" s="13"/>
      <c r="D493" s="28"/>
    </row>
    <row r="494" spans="3:4" s="8" customFormat="1" x14ac:dyDescent="0.3">
      <c r="C494" s="13"/>
      <c r="D494" s="28"/>
    </row>
    <row r="495" spans="3:4" s="8" customFormat="1" x14ac:dyDescent="0.3">
      <c r="C495" s="13"/>
      <c r="D495" s="28"/>
    </row>
    <row r="496" spans="3:4" s="8" customFormat="1" x14ac:dyDescent="0.3">
      <c r="C496" s="13"/>
      <c r="D496" s="28"/>
    </row>
    <row r="497" spans="3:4" s="8" customFormat="1" x14ac:dyDescent="0.3">
      <c r="C497" s="13"/>
      <c r="D497" s="28"/>
    </row>
    <row r="498" spans="3:4" s="8" customFormat="1" x14ac:dyDescent="0.3">
      <c r="C498" s="13"/>
      <c r="D498" s="28"/>
    </row>
    <row r="499" spans="3:4" s="8" customFormat="1" x14ac:dyDescent="0.3">
      <c r="C499" s="13"/>
      <c r="D499" s="28"/>
    </row>
    <row r="500" spans="3:4" s="8" customFormat="1" x14ac:dyDescent="0.3">
      <c r="C500" s="13"/>
      <c r="D500" s="28"/>
    </row>
    <row r="501" spans="3:4" s="8" customFormat="1" x14ac:dyDescent="0.3">
      <c r="C501" s="13"/>
      <c r="D501" s="28"/>
    </row>
    <row r="502" spans="3:4" s="8" customFormat="1" x14ac:dyDescent="0.3">
      <c r="C502" s="13"/>
      <c r="D502" s="28"/>
    </row>
    <row r="503" spans="3:4" s="8" customFormat="1" x14ac:dyDescent="0.3">
      <c r="C503" s="13"/>
      <c r="D503" s="28"/>
    </row>
    <row r="504" spans="3:4" s="8" customFormat="1" x14ac:dyDescent="0.3">
      <c r="C504" s="13"/>
      <c r="D504" s="28"/>
    </row>
    <row r="505" spans="3:4" s="8" customFormat="1" x14ac:dyDescent="0.3">
      <c r="C505" s="13"/>
      <c r="D505" s="28"/>
    </row>
    <row r="506" spans="3:4" s="8" customFormat="1" x14ac:dyDescent="0.3">
      <c r="C506" s="13"/>
      <c r="D506" s="28"/>
    </row>
    <row r="507" spans="3:4" s="8" customFormat="1" x14ac:dyDescent="0.3">
      <c r="C507" s="13"/>
      <c r="D507" s="28"/>
    </row>
    <row r="508" spans="3:4" s="8" customFormat="1" x14ac:dyDescent="0.3">
      <c r="C508" s="13"/>
      <c r="D508" s="28"/>
    </row>
    <row r="509" spans="3:4" s="8" customFormat="1" x14ac:dyDescent="0.3">
      <c r="C509" s="13"/>
      <c r="D509" s="28"/>
    </row>
    <row r="510" spans="3:4" s="8" customFormat="1" x14ac:dyDescent="0.3">
      <c r="C510" s="13"/>
      <c r="D510" s="28"/>
    </row>
    <row r="511" spans="3:4" s="8" customFormat="1" x14ac:dyDescent="0.3">
      <c r="C511" s="13"/>
      <c r="D511" s="28"/>
    </row>
    <row r="512" spans="3:4" s="8" customFormat="1" x14ac:dyDescent="0.3">
      <c r="C512" s="13"/>
      <c r="D512" s="28"/>
    </row>
    <row r="513" spans="3:4" s="8" customFormat="1" x14ac:dyDescent="0.3">
      <c r="C513" s="13"/>
      <c r="D513" s="28"/>
    </row>
    <row r="514" spans="3:4" s="8" customFormat="1" x14ac:dyDescent="0.3">
      <c r="C514" s="13"/>
      <c r="D514" s="28"/>
    </row>
    <row r="515" spans="3:4" s="8" customFormat="1" x14ac:dyDescent="0.3">
      <c r="C515" s="13"/>
      <c r="D515" s="28"/>
    </row>
    <row r="516" spans="3:4" s="8" customFormat="1" x14ac:dyDescent="0.3">
      <c r="C516" s="13"/>
      <c r="D516" s="28"/>
    </row>
    <row r="517" spans="3:4" s="8" customFormat="1" x14ac:dyDescent="0.3">
      <c r="C517" s="13"/>
      <c r="D517" s="28"/>
    </row>
    <row r="518" spans="3:4" s="8" customFormat="1" x14ac:dyDescent="0.3">
      <c r="C518" s="13"/>
      <c r="D518" s="28"/>
    </row>
    <row r="519" spans="3:4" s="8" customFormat="1" x14ac:dyDescent="0.3">
      <c r="C519" s="13"/>
      <c r="D519" s="28"/>
    </row>
    <row r="520" spans="3:4" s="8" customFormat="1" x14ac:dyDescent="0.3">
      <c r="C520" s="13"/>
      <c r="D520" s="28"/>
    </row>
    <row r="521" spans="3:4" s="8" customFormat="1" x14ac:dyDescent="0.3">
      <c r="C521" s="13"/>
      <c r="D521" s="28"/>
    </row>
    <row r="522" spans="3:4" s="8" customFormat="1" x14ac:dyDescent="0.3">
      <c r="C522" s="13"/>
      <c r="D522" s="28"/>
    </row>
    <row r="523" spans="3:4" s="8" customFormat="1" x14ac:dyDescent="0.3">
      <c r="C523" s="13"/>
      <c r="D523" s="28"/>
    </row>
    <row r="524" spans="3:4" s="8" customFormat="1" x14ac:dyDescent="0.3">
      <c r="C524" s="13"/>
      <c r="D524" s="28"/>
    </row>
    <row r="525" spans="3:4" s="8" customFormat="1" x14ac:dyDescent="0.3">
      <c r="C525" s="13"/>
      <c r="D525" s="28"/>
    </row>
    <row r="526" spans="3:4" s="8" customFormat="1" x14ac:dyDescent="0.3">
      <c r="C526" s="13"/>
      <c r="D526" s="28"/>
    </row>
    <row r="527" spans="3:4" s="8" customFormat="1" x14ac:dyDescent="0.3">
      <c r="C527" s="13"/>
      <c r="D527" s="28"/>
    </row>
    <row r="528" spans="3:4" s="8" customFormat="1" x14ac:dyDescent="0.3">
      <c r="C528" s="13"/>
      <c r="D528" s="28"/>
    </row>
    <row r="529" spans="3:4" s="8" customFormat="1" x14ac:dyDescent="0.3">
      <c r="C529" s="13"/>
      <c r="D529" s="28"/>
    </row>
    <row r="530" spans="3:4" s="8" customFormat="1" x14ac:dyDescent="0.3">
      <c r="C530" s="13"/>
      <c r="D530" s="28"/>
    </row>
    <row r="531" spans="3:4" s="8" customFormat="1" x14ac:dyDescent="0.3">
      <c r="C531" s="13"/>
      <c r="D531" s="28"/>
    </row>
    <row r="532" spans="3:4" s="8" customFormat="1" x14ac:dyDescent="0.3">
      <c r="C532" s="13"/>
      <c r="D532" s="28"/>
    </row>
    <row r="533" spans="3:4" s="8" customFormat="1" x14ac:dyDescent="0.3">
      <c r="C533" s="13"/>
      <c r="D533" s="28"/>
    </row>
    <row r="534" spans="3:4" s="8" customFormat="1" x14ac:dyDescent="0.3">
      <c r="C534" s="13"/>
      <c r="D534" s="28"/>
    </row>
    <row r="535" spans="3:4" s="8" customFormat="1" x14ac:dyDescent="0.3">
      <c r="C535" s="13"/>
      <c r="D535" s="28"/>
    </row>
    <row r="536" spans="3:4" s="8" customFormat="1" x14ac:dyDescent="0.3">
      <c r="C536" s="13"/>
      <c r="D536" s="28"/>
    </row>
    <row r="537" spans="3:4" s="8" customFormat="1" x14ac:dyDescent="0.3">
      <c r="C537" s="13"/>
      <c r="D537" s="28"/>
    </row>
    <row r="538" spans="3:4" s="8" customFormat="1" x14ac:dyDescent="0.3">
      <c r="C538" s="13"/>
      <c r="D538" s="28"/>
    </row>
    <row r="539" spans="3:4" s="8" customFormat="1" x14ac:dyDescent="0.3">
      <c r="C539" s="13"/>
      <c r="D539" s="28"/>
    </row>
    <row r="540" spans="3:4" s="8" customFormat="1" x14ac:dyDescent="0.3">
      <c r="C540" s="13"/>
      <c r="D540" s="28"/>
    </row>
    <row r="541" spans="3:4" s="8" customFormat="1" x14ac:dyDescent="0.3">
      <c r="C541" s="13"/>
      <c r="D541" s="28"/>
    </row>
    <row r="542" spans="3:4" s="8" customFormat="1" x14ac:dyDescent="0.3">
      <c r="C542" s="13"/>
      <c r="D542" s="28"/>
    </row>
    <row r="543" spans="3:4" s="8" customFormat="1" x14ac:dyDescent="0.3">
      <c r="C543" s="13"/>
      <c r="D543" s="28"/>
    </row>
    <row r="544" spans="3:4" s="8" customFormat="1" x14ac:dyDescent="0.3">
      <c r="C544" s="13"/>
      <c r="D544" s="28"/>
    </row>
    <row r="545" spans="3:4" s="8" customFormat="1" x14ac:dyDescent="0.3">
      <c r="C545" s="13"/>
      <c r="D545" s="28"/>
    </row>
    <row r="546" spans="3:4" s="8" customFormat="1" x14ac:dyDescent="0.3">
      <c r="C546" s="13"/>
      <c r="D546" s="28"/>
    </row>
    <row r="547" spans="3:4" s="8" customFormat="1" x14ac:dyDescent="0.3">
      <c r="C547" s="13"/>
      <c r="D547" s="28"/>
    </row>
    <row r="548" spans="3:4" s="8" customFormat="1" x14ac:dyDescent="0.3">
      <c r="C548" s="13"/>
      <c r="D548" s="28"/>
    </row>
    <row r="549" spans="3:4" s="8" customFormat="1" x14ac:dyDescent="0.3">
      <c r="C549" s="13"/>
      <c r="D549" s="28"/>
    </row>
    <row r="550" spans="3:4" s="8" customFormat="1" x14ac:dyDescent="0.3">
      <c r="C550" s="13"/>
      <c r="D550" s="28"/>
    </row>
    <row r="551" spans="3:4" s="8" customFormat="1" x14ac:dyDescent="0.3">
      <c r="C551" s="13"/>
      <c r="D551" s="28"/>
    </row>
    <row r="552" spans="3:4" s="8" customFormat="1" x14ac:dyDescent="0.3">
      <c r="C552" s="13"/>
      <c r="D552" s="28"/>
    </row>
    <row r="553" spans="3:4" s="8" customFormat="1" x14ac:dyDescent="0.3">
      <c r="C553" s="13"/>
      <c r="D553" s="28"/>
    </row>
    <row r="554" spans="3:4" s="8" customFormat="1" x14ac:dyDescent="0.3">
      <c r="C554" s="13"/>
      <c r="D554" s="28"/>
    </row>
    <row r="555" spans="3:4" s="8" customFormat="1" x14ac:dyDescent="0.3">
      <c r="C555" s="13"/>
      <c r="D555" s="28"/>
    </row>
    <row r="556" spans="3:4" s="8" customFormat="1" x14ac:dyDescent="0.3">
      <c r="C556" s="13"/>
      <c r="D556" s="28"/>
    </row>
    <row r="557" spans="3:4" s="8" customFormat="1" x14ac:dyDescent="0.3">
      <c r="C557" s="13"/>
      <c r="D557" s="28"/>
    </row>
    <row r="558" spans="3:4" s="8" customFormat="1" x14ac:dyDescent="0.3">
      <c r="C558" s="13"/>
      <c r="D558" s="28"/>
    </row>
    <row r="559" spans="3:4" s="8" customFormat="1" x14ac:dyDescent="0.3">
      <c r="C559" s="13"/>
      <c r="D559" s="28"/>
    </row>
    <row r="560" spans="3:4" s="8" customFormat="1" x14ac:dyDescent="0.3">
      <c r="C560" s="13"/>
      <c r="D560" s="28"/>
    </row>
    <row r="561" spans="3:4" s="8" customFormat="1" x14ac:dyDescent="0.3">
      <c r="C561" s="13"/>
      <c r="D561" s="28"/>
    </row>
    <row r="562" spans="3:4" s="8" customFormat="1" x14ac:dyDescent="0.3">
      <c r="C562" s="13"/>
      <c r="D562" s="28"/>
    </row>
    <row r="563" spans="3:4" s="8" customFormat="1" x14ac:dyDescent="0.3">
      <c r="C563" s="13"/>
      <c r="D563" s="28"/>
    </row>
    <row r="564" spans="3:4" s="8" customFormat="1" x14ac:dyDescent="0.3">
      <c r="C564" s="13"/>
      <c r="D564" s="28"/>
    </row>
    <row r="565" spans="3:4" s="8" customFormat="1" x14ac:dyDescent="0.3">
      <c r="C565" s="13"/>
      <c r="D565" s="28"/>
    </row>
    <row r="566" spans="3:4" s="8" customFormat="1" x14ac:dyDescent="0.3">
      <c r="C566" s="13"/>
      <c r="D566" s="28"/>
    </row>
    <row r="567" spans="3:4" s="8" customFormat="1" x14ac:dyDescent="0.3">
      <c r="C567" s="13"/>
      <c r="D567" s="28"/>
    </row>
    <row r="568" spans="3:4" s="8" customFormat="1" x14ac:dyDescent="0.3">
      <c r="C568" s="13"/>
      <c r="D568" s="28"/>
    </row>
    <row r="569" spans="3:4" s="8" customFormat="1" x14ac:dyDescent="0.3">
      <c r="C569" s="13"/>
      <c r="D569" s="28"/>
    </row>
    <row r="570" spans="3:4" s="8" customFormat="1" x14ac:dyDescent="0.3">
      <c r="C570" s="13"/>
      <c r="D570" s="28"/>
    </row>
    <row r="571" spans="3:4" s="8" customFormat="1" x14ac:dyDescent="0.3">
      <c r="C571" s="13"/>
      <c r="D571" s="28"/>
    </row>
    <row r="572" spans="3:4" s="8" customFormat="1" x14ac:dyDescent="0.3">
      <c r="C572" s="13"/>
      <c r="D572" s="28"/>
    </row>
    <row r="573" spans="3:4" s="8" customFormat="1" x14ac:dyDescent="0.3">
      <c r="C573" s="13"/>
      <c r="D573" s="28"/>
    </row>
    <row r="574" spans="3:4" s="8" customFormat="1" x14ac:dyDescent="0.3">
      <c r="C574" s="13"/>
      <c r="D574" s="28"/>
    </row>
    <row r="575" spans="3:4" s="8" customFormat="1" x14ac:dyDescent="0.3">
      <c r="C575" s="13"/>
      <c r="D575" s="28"/>
    </row>
    <row r="576" spans="3:4" s="8" customFormat="1" x14ac:dyDescent="0.3">
      <c r="C576" s="13"/>
      <c r="D576" s="28"/>
    </row>
    <row r="577" spans="3:4" s="8" customFormat="1" x14ac:dyDescent="0.3">
      <c r="C577" s="13"/>
      <c r="D577" s="28"/>
    </row>
    <row r="578" spans="3:4" s="8" customFormat="1" x14ac:dyDescent="0.3">
      <c r="C578" s="13"/>
      <c r="D578" s="28"/>
    </row>
    <row r="579" spans="3:4" s="8" customFormat="1" x14ac:dyDescent="0.3">
      <c r="C579" s="13"/>
      <c r="D579" s="28"/>
    </row>
    <row r="580" spans="3:4" s="8" customFormat="1" x14ac:dyDescent="0.3">
      <c r="C580" s="13"/>
      <c r="D580" s="28"/>
    </row>
    <row r="581" spans="3:4" s="8" customFormat="1" x14ac:dyDescent="0.3">
      <c r="C581" s="13"/>
      <c r="D581" s="28"/>
    </row>
    <row r="582" spans="3:4" s="8" customFormat="1" x14ac:dyDescent="0.3">
      <c r="C582" s="13"/>
      <c r="D582" s="28"/>
    </row>
    <row r="583" spans="3:4" s="8" customFormat="1" x14ac:dyDescent="0.3">
      <c r="C583" s="13"/>
      <c r="D583" s="28"/>
    </row>
    <row r="584" spans="3:4" s="8" customFormat="1" x14ac:dyDescent="0.3">
      <c r="C584" s="13"/>
      <c r="D584" s="28"/>
    </row>
    <row r="585" spans="3:4" s="8" customFormat="1" x14ac:dyDescent="0.3">
      <c r="C585" s="13"/>
      <c r="D585" s="28"/>
    </row>
    <row r="586" spans="3:4" s="8" customFormat="1" x14ac:dyDescent="0.3">
      <c r="C586" s="13"/>
      <c r="D586" s="28"/>
    </row>
    <row r="587" spans="3:4" s="8" customFormat="1" x14ac:dyDescent="0.3">
      <c r="C587" s="13"/>
      <c r="D587" s="28"/>
    </row>
    <row r="588" spans="3:4" s="8" customFormat="1" x14ac:dyDescent="0.3">
      <c r="C588" s="13"/>
      <c r="D588" s="28"/>
    </row>
    <row r="589" spans="3:4" s="8" customFormat="1" x14ac:dyDescent="0.3">
      <c r="C589" s="13"/>
      <c r="D589" s="28"/>
    </row>
    <row r="590" spans="3:4" s="8" customFormat="1" x14ac:dyDescent="0.3">
      <c r="C590" s="13"/>
      <c r="D590" s="28"/>
    </row>
    <row r="591" spans="3:4" s="8" customFormat="1" x14ac:dyDescent="0.3">
      <c r="C591" s="13"/>
      <c r="D591" s="28"/>
    </row>
    <row r="592" spans="3:4" s="8" customFormat="1" x14ac:dyDescent="0.3">
      <c r="C592" s="13"/>
      <c r="D592" s="28"/>
    </row>
    <row r="593" spans="3:4" s="8" customFormat="1" x14ac:dyDescent="0.3">
      <c r="C593" s="13"/>
      <c r="D593" s="28"/>
    </row>
    <row r="594" spans="3:4" s="8" customFormat="1" x14ac:dyDescent="0.3">
      <c r="C594" s="13"/>
      <c r="D594" s="28"/>
    </row>
    <row r="595" spans="3:4" s="8" customFormat="1" x14ac:dyDescent="0.3">
      <c r="C595" s="13"/>
      <c r="D595" s="28"/>
    </row>
    <row r="596" spans="3:4" s="8" customFormat="1" x14ac:dyDescent="0.3">
      <c r="C596" s="13"/>
      <c r="D596" s="28"/>
    </row>
    <row r="597" spans="3:4" s="8" customFormat="1" x14ac:dyDescent="0.3">
      <c r="C597" s="13"/>
      <c r="D597" s="28"/>
    </row>
    <row r="598" spans="3:4" s="8" customFormat="1" x14ac:dyDescent="0.3">
      <c r="C598" s="13"/>
      <c r="D598" s="28"/>
    </row>
    <row r="599" spans="3:4" s="8" customFormat="1" x14ac:dyDescent="0.3">
      <c r="C599" s="13"/>
      <c r="D599" s="28"/>
    </row>
    <row r="600" spans="3:4" s="8" customFormat="1" x14ac:dyDescent="0.3">
      <c r="C600" s="13"/>
      <c r="D600" s="28"/>
    </row>
    <row r="601" spans="3:4" s="8" customFormat="1" x14ac:dyDescent="0.3">
      <c r="C601" s="13"/>
      <c r="D601" s="28"/>
    </row>
    <row r="602" spans="3:4" s="8" customFormat="1" x14ac:dyDescent="0.3">
      <c r="C602" s="13"/>
      <c r="D602" s="28"/>
    </row>
    <row r="603" spans="3:4" s="8" customFormat="1" x14ac:dyDescent="0.3">
      <c r="C603" s="13"/>
      <c r="D603" s="28"/>
    </row>
    <row r="604" spans="3:4" s="8" customFormat="1" x14ac:dyDescent="0.3">
      <c r="C604" s="13"/>
      <c r="D604" s="28"/>
    </row>
    <row r="605" spans="3:4" s="8" customFormat="1" x14ac:dyDescent="0.3">
      <c r="C605" s="13"/>
      <c r="D605" s="28"/>
    </row>
    <row r="606" spans="3:4" s="8" customFormat="1" x14ac:dyDescent="0.3">
      <c r="C606" s="13"/>
      <c r="D606" s="28"/>
    </row>
    <row r="607" spans="3:4" s="8" customFormat="1" x14ac:dyDescent="0.3">
      <c r="C607" s="13"/>
      <c r="D607" s="28"/>
    </row>
    <row r="608" spans="3:4" s="8" customFormat="1" x14ac:dyDescent="0.3">
      <c r="C608" s="13"/>
      <c r="D608" s="28"/>
    </row>
    <row r="609" spans="3:4" s="8" customFormat="1" x14ac:dyDescent="0.3">
      <c r="C609" s="13"/>
      <c r="D609" s="28"/>
    </row>
    <row r="610" spans="3:4" s="8" customFormat="1" x14ac:dyDescent="0.3">
      <c r="C610" s="13"/>
      <c r="D610" s="28"/>
    </row>
    <row r="611" spans="3:4" s="8" customFormat="1" x14ac:dyDescent="0.3">
      <c r="C611" s="13"/>
      <c r="D611" s="28"/>
    </row>
    <row r="612" spans="3:4" s="8" customFormat="1" x14ac:dyDescent="0.3">
      <c r="C612" s="13"/>
      <c r="D612" s="28"/>
    </row>
    <row r="613" spans="3:4" s="8" customFormat="1" x14ac:dyDescent="0.3">
      <c r="C613" s="13"/>
      <c r="D613" s="28"/>
    </row>
    <row r="614" spans="3:4" s="8" customFormat="1" x14ac:dyDescent="0.3">
      <c r="C614" s="13"/>
      <c r="D614" s="28"/>
    </row>
    <row r="615" spans="3:4" s="8" customFormat="1" x14ac:dyDescent="0.3">
      <c r="C615" s="13"/>
      <c r="D615" s="28"/>
    </row>
    <row r="616" spans="3:4" s="8" customFormat="1" x14ac:dyDescent="0.3">
      <c r="C616" s="13"/>
      <c r="D616" s="28"/>
    </row>
    <row r="617" spans="3:4" s="8" customFormat="1" x14ac:dyDescent="0.3">
      <c r="C617" s="13"/>
      <c r="D617" s="28"/>
    </row>
    <row r="618" spans="3:4" s="8" customFormat="1" x14ac:dyDescent="0.3">
      <c r="C618" s="13"/>
      <c r="D618" s="28"/>
    </row>
    <row r="619" spans="3:4" s="8" customFormat="1" x14ac:dyDescent="0.3">
      <c r="C619" s="13"/>
      <c r="D619" s="28"/>
    </row>
    <row r="620" spans="3:4" s="8" customFormat="1" x14ac:dyDescent="0.3">
      <c r="C620" s="13"/>
      <c r="D620" s="28"/>
    </row>
    <row r="621" spans="3:4" s="8" customFormat="1" x14ac:dyDescent="0.3">
      <c r="C621" s="13"/>
      <c r="D621" s="28"/>
    </row>
    <row r="622" spans="3:4" s="8" customFormat="1" x14ac:dyDescent="0.3">
      <c r="C622" s="13"/>
      <c r="D622" s="28"/>
    </row>
    <row r="623" spans="3:4" s="8" customFormat="1" x14ac:dyDescent="0.3">
      <c r="C623" s="13"/>
      <c r="D623" s="28"/>
    </row>
    <row r="624" spans="3:4" s="8" customFormat="1" x14ac:dyDescent="0.3">
      <c r="C624" s="13"/>
      <c r="D624" s="28"/>
    </row>
    <row r="625" spans="3:4" s="8" customFormat="1" x14ac:dyDescent="0.3">
      <c r="C625" s="13"/>
      <c r="D625" s="28"/>
    </row>
    <row r="626" spans="3:4" s="8" customFormat="1" x14ac:dyDescent="0.3">
      <c r="C626" s="13"/>
      <c r="D626" s="28"/>
    </row>
    <row r="627" spans="3:4" s="8" customFormat="1" x14ac:dyDescent="0.3">
      <c r="C627" s="13"/>
      <c r="D627" s="28"/>
    </row>
    <row r="628" spans="3:4" s="8" customFormat="1" x14ac:dyDescent="0.3">
      <c r="C628" s="13"/>
      <c r="D628" s="28"/>
    </row>
    <row r="629" spans="3:4" s="8" customFormat="1" x14ac:dyDescent="0.3">
      <c r="C629" s="13"/>
      <c r="D629" s="28"/>
    </row>
    <row r="630" spans="3:4" s="8" customFormat="1" x14ac:dyDescent="0.3">
      <c r="C630" s="13"/>
      <c r="D630" s="28"/>
    </row>
    <row r="631" spans="3:4" s="8" customFormat="1" x14ac:dyDescent="0.3">
      <c r="C631" s="13"/>
      <c r="D631" s="28"/>
    </row>
    <row r="632" spans="3:4" s="8" customFormat="1" x14ac:dyDescent="0.3">
      <c r="C632" s="13"/>
      <c r="D632" s="28"/>
    </row>
    <row r="633" spans="3:4" s="8" customFormat="1" x14ac:dyDescent="0.3">
      <c r="C633" s="13"/>
      <c r="D633" s="28"/>
    </row>
    <row r="634" spans="3:4" s="8" customFormat="1" x14ac:dyDescent="0.3">
      <c r="C634" s="13"/>
      <c r="D634" s="28"/>
    </row>
    <row r="635" spans="3:4" s="8" customFormat="1" x14ac:dyDescent="0.3">
      <c r="C635" s="13"/>
      <c r="D635" s="28"/>
    </row>
    <row r="636" spans="3:4" s="8" customFormat="1" x14ac:dyDescent="0.3">
      <c r="C636" s="13"/>
      <c r="D636" s="28"/>
    </row>
    <row r="637" spans="3:4" s="8" customFormat="1" x14ac:dyDescent="0.3">
      <c r="C637" s="13"/>
      <c r="D637" s="28"/>
    </row>
    <row r="638" spans="3:4" s="8" customFormat="1" x14ac:dyDescent="0.3">
      <c r="C638" s="13"/>
      <c r="D638" s="28"/>
    </row>
    <row r="639" spans="3:4" s="8" customFormat="1" x14ac:dyDescent="0.3">
      <c r="C639" s="13"/>
      <c r="D639" s="28"/>
    </row>
    <row r="640" spans="3:4" s="8" customFormat="1" x14ac:dyDescent="0.3">
      <c r="C640" s="13"/>
      <c r="D640" s="28"/>
    </row>
    <row r="641" spans="3:4" s="8" customFormat="1" x14ac:dyDescent="0.3">
      <c r="C641" s="13"/>
      <c r="D641" s="28"/>
    </row>
    <row r="642" spans="3:4" s="8" customFormat="1" x14ac:dyDescent="0.3">
      <c r="C642" s="13"/>
      <c r="D642" s="28"/>
    </row>
    <row r="643" spans="3:4" s="8" customFormat="1" x14ac:dyDescent="0.3">
      <c r="C643" s="13"/>
      <c r="D643" s="28"/>
    </row>
    <row r="644" spans="3:4" s="8" customFormat="1" x14ac:dyDescent="0.3">
      <c r="C644" s="13"/>
      <c r="D644" s="28"/>
    </row>
    <row r="645" spans="3:4" s="8" customFormat="1" x14ac:dyDescent="0.3">
      <c r="C645" s="13"/>
      <c r="D645" s="28"/>
    </row>
    <row r="646" spans="3:4" s="8" customFormat="1" x14ac:dyDescent="0.3">
      <c r="C646" s="13"/>
      <c r="D646" s="28"/>
    </row>
    <row r="647" spans="3:4" s="8" customFormat="1" x14ac:dyDescent="0.3">
      <c r="C647" s="13"/>
      <c r="D647" s="28"/>
    </row>
    <row r="648" spans="3:4" s="8" customFormat="1" x14ac:dyDescent="0.3">
      <c r="C648" s="13"/>
      <c r="D648" s="28"/>
    </row>
    <row r="649" spans="3:4" s="8" customFormat="1" x14ac:dyDescent="0.3">
      <c r="C649" s="13"/>
      <c r="D649" s="28"/>
    </row>
    <row r="650" spans="3:4" s="8" customFormat="1" x14ac:dyDescent="0.3">
      <c r="C650" s="13"/>
      <c r="D650" s="28"/>
    </row>
    <row r="651" spans="3:4" s="8" customFormat="1" x14ac:dyDescent="0.3">
      <c r="C651" s="13"/>
      <c r="D651" s="28"/>
    </row>
    <row r="652" spans="3:4" s="8" customFormat="1" x14ac:dyDescent="0.3">
      <c r="C652" s="13"/>
      <c r="D652" s="28"/>
    </row>
    <row r="653" spans="3:4" s="8" customFormat="1" x14ac:dyDescent="0.3">
      <c r="C653" s="13"/>
      <c r="D653" s="28"/>
    </row>
    <row r="654" spans="3:4" s="8" customFormat="1" x14ac:dyDescent="0.3">
      <c r="C654" s="13"/>
      <c r="D654" s="28"/>
    </row>
    <row r="655" spans="3:4" s="8" customFormat="1" x14ac:dyDescent="0.3">
      <c r="C655" s="13"/>
      <c r="D655" s="28"/>
    </row>
    <row r="656" spans="3:4" s="8" customFormat="1" x14ac:dyDescent="0.3">
      <c r="C656" s="13"/>
      <c r="D656" s="28"/>
    </row>
    <row r="657" spans="3:4" s="8" customFormat="1" x14ac:dyDescent="0.3">
      <c r="C657" s="13"/>
      <c r="D657" s="28"/>
    </row>
    <row r="658" spans="3:4" s="8" customFormat="1" x14ac:dyDescent="0.3">
      <c r="C658" s="13"/>
      <c r="D658" s="28"/>
    </row>
    <row r="659" spans="3:4" s="8" customFormat="1" x14ac:dyDescent="0.3">
      <c r="C659" s="13"/>
      <c r="D659" s="28"/>
    </row>
    <row r="660" spans="3:4" s="8" customFormat="1" x14ac:dyDescent="0.3">
      <c r="C660" s="13"/>
      <c r="D660" s="28"/>
    </row>
    <row r="661" spans="3:4" s="8" customFormat="1" x14ac:dyDescent="0.3">
      <c r="C661" s="13"/>
      <c r="D661" s="28"/>
    </row>
    <row r="662" spans="3:4" s="8" customFormat="1" x14ac:dyDescent="0.3">
      <c r="C662" s="13"/>
      <c r="D662" s="28"/>
    </row>
    <row r="663" spans="3:4" s="8" customFormat="1" x14ac:dyDescent="0.3">
      <c r="C663" s="13"/>
      <c r="D663" s="28"/>
    </row>
    <row r="664" spans="3:4" s="8" customFormat="1" x14ac:dyDescent="0.3">
      <c r="C664" s="13"/>
      <c r="D664" s="28"/>
    </row>
    <row r="665" spans="3:4" s="8" customFormat="1" x14ac:dyDescent="0.3">
      <c r="C665" s="13"/>
      <c r="D665" s="28"/>
    </row>
    <row r="666" spans="3:4" s="8" customFormat="1" x14ac:dyDescent="0.3">
      <c r="C666" s="13"/>
      <c r="D666" s="28"/>
    </row>
    <row r="667" spans="3:4" s="8" customFormat="1" x14ac:dyDescent="0.3">
      <c r="C667" s="13"/>
      <c r="D667" s="28"/>
    </row>
    <row r="668" spans="3:4" s="8" customFormat="1" x14ac:dyDescent="0.3">
      <c r="C668" s="13"/>
      <c r="D668" s="28"/>
    </row>
    <row r="669" spans="3:4" s="8" customFormat="1" x14ac:dyDescent="0.3">
      <c r="C669" s="13"/>
      <c r="D669" s="28"/>
    </row>
    <row r="670" spans="3:4" s="8" customFormat="1" x14ac:dyDescent="0.3">
      <c r="C670" s="13"/>
      <c r="D670" s="28"/>
    </row>
    <row r="671" spans="3:4" s="8" customFormat="1" x14ac:dyDescent="0.3">
      <c r="C671" s="13"/>
      <c r="D671" s="28"/>
    </row>
    <row r="672" spans="3:4" s="8" customFormat="1" x14ac:dyDescent="0.3">
      <c r="C672" s="13"/>
      <c r="D672" s="28"/>
    </row>
    <row r="673" spans="3:4" s="8" customFormat="1" x14ac:dyDescent="0.3">
      <c r="C673" s="13"/>
      <c r="D673" s="28"/>
    </row>
    <row r="674" spans="3:4" s="8" customFormat="1" x14ac:dyDescent="0.3">
      <c r="C674" s="13"/>
      <c r="D674" s="28"/>
    </row>
    <row r="675" spans="3:4" s="8" customFormat="1" x14ac:dyDescent="0.3">
      <c r="C675" s="13"/>
      <c r="D675" s="28"/>
    </row>
    <row r="676" spans="3:4" s="8" customFormat="1" x14ac:dyDescent="0.3">
      <c r="C676" s="13"/>
      <c r="D676" s="28"/>
    </row>
    <row r="677" spans="3:4" s="8" customFormat="1" x14ac:dyDescent="0.3">
      <c r="C677" s="13"/>
      <c r="D677" s="28"/>
    </row>
    <row r="678" spans="3:4" s="8" customFormat="1" x14ac:dyDescent="0.3">
      <c r="C678" s="13"/>
      <c r="D678" s="28"/>
    </row>
    <row r="679" spans="3:4" s="8" customFormat="1" x14ac:dyDescent="0.3">
      <c r="C679" s="13"/>
      <c r="D679" s="28"/>
    </row>
    <row r="680" spans="3:4" s="8" customFormat="1" x14ac:dyDescent="0.3">
      <c r="C680" s="13"/>
      <c r="D680" s="28"/>
    </row>
    <row r="681" spans="3:4" s="8" customFormat="1" x14ac:dyDescent="0.3">
      <c r="C681" s="13"/>
      <c r="D681" s="28"/>
    </row>
    <row r="682" spans="3:4" s="8" customFormat="1" x14ac:dyDescent="0.3">
      <c r="C682" s="13"/>
      <c r="D682" s="28"/>
    </row>
    <row r="683" spans="3:4" s="8" customFormat="1" x14ac:dyDescent="0.3">
      <c r="C683" s="13"/>
      <c r="D683" s="28"/>
    </row>
    <row r="684" spans="3:4" s="8" customFormat="1" x14ac:dyDescent="0.3">
      <c r="C684" s="13"/>
      <c r="D684" s="28"/>
    </row>
    <row r="685" spans="3:4" s="8" customFormat="1" x14ac:dyDescent="0.3">
      <c r="C685" s="13"/>
      <c r="D685" s="28"/>
    </row>
    <row r="686" spans="3:4" s="8" customFormat="1" x14ac:dyDescent="0.3">
      <c r="C686" s="13"/>
      <c r="D686" s="28"/>
    </row>
    <row r="687" spans="3:4" s="8" customFormat="1" x14ac:dyDescent="0.3">
      <c r="C687" s="13"/>
      <c r="D687" s="28"/>
    </row>
    <row r="688" spans="3:4" s="8" customFormat="1" x14ac:dyDescent="0.3">
      <c r="C688" s="13"/>
      <c r="D688" s="28"/>
    </row>
    <row r="689" spans="3:4" s="8" customFormat="1" x14ac:dyDescent="0.3">
      <c r="C689" s="13"/>
      <c r="D689" s="28"/>
    </row>
    <row r="690" spans="3:4" s="8" customFormat="1" x14ac:dyDescent="0.3">
      <c r="C690" s="13"/>
      <c r="D690" s="28"/>
    </row>
    <row r="691" spans="3:4" s="8" customFormat="1" x14ac:dyDescent="0.3">
      <c r="C691" s="13"/>
      <c r="D691" s="28"/>
    </row>
    <row r="692" spans="3:4" s="8" customFormat="1" x14ac:dyDescent="0.3">
      <c r="C692" s="13"/>
      <c r="D692" s="28"/>
    </row>
    <row r="693" spans="3:4" s="8" customFormat="1" x14ac:dyDescent="0.3">
      <c r="C693" s="13"/>
      <c r="D693" s="28"/>
    </row>
    <row r="694" spans="3:4" s="8" customFormat="1" x14ac:dyDescent="0.3">
      <c r="C694" s="13"/>
      <c r="D694" s="28"/>
    </row>
    <row r="695" spans="3:4" s="8" customFormat="1" x14ac:dyDescent="0.3">
      <c r="C695" s="13"/>
      <c r="D695" s="28"/>
    </row>
    <row r="696" spans="3:4" s="8" customFormat="1" x14ac:dyDescent="0.3">
      <c r="C696" s="13"/>
      <c r="D696" s="28"/>
    </row>
    <row r="697" spans="3:4" s="8" customFormat="1" x14ac:dyDescent="0.3">
      <c r="C697" s="13"/>
      <c r="D697" s="28"/>
    </row>
    <row r="698" spans="3:4" s="8" customFormat="1" x14ac:dyDescent="0.3">
      <c r="C698" s="13"/>
      <c r="D698" s="28"/>
    </row>
    <row r="699" spans="3:4" s="8" customFormat="1" x14ac:dyDescent="0.3">
      <c r="C699" s="13"/>
      <c r="D699" s="28"/>
    </row>
    <row r="700" spans="3:4" s="8" customFormat="1" x14ac:dyDescent="0.3">
      <c r="C700" s="13"/>
      <c r="D700" s="28"/>
    </row>
    <row r="701" spans="3:4" s="8" customFormat="1" x14ac:dyDescent="0.3">
      <c r="C701" s="13"/>
      <c r="D701" s="28"/>
    </row>
    <row r="702" spans="3:4" s="8" customFormat="1" x14ac:dyDescent="0.3">
      <c r="C702" s="13"/>
      <c r="D702" s="28"/>
    </row>
    <row r="703" spans="3:4" s="8" customFormat="1" x14ac:dyDescent="0.3">
      <c r="C703" s="13"/>
      <c r="D703" s="28"/>
    </row>
    <row r="704" spans="3:4" s="8" customFormat="1" x14ac:dyDescent="0.3">
      <c r="C704" s="13"/>
      <c r="D704" s="28"/>
    </row>
    <row r="705" spans="3:4" s="8" customFormat="1" x14ac:dyDescent="0.3">
      <c r="C705" s="13"/>
      <c r="D705" s="28"/>
    </row>
    <row r="706" spans="3:4" s="8" customFormat="1" x14ac:dyDescent="0.3">
      <c r="C706" s="13"/>
      <c r="D706" s="28"/>
    </row>
    <row r="707" spans="3:4" s="8" customFormat="1" x14ac:dyDescent="0.3">
      <c r="C707" s="13"/>
      <c r="D707" s="28"/>
    </row>
    <row r="708" spans="3:4" s="8" customFormat="1" x14ac:dyDescent="0.3">
      <c r="C708" s="13"/>
      <c r="D708" s="28"/>
    </row>
    <row r="709" spans="3:4" s="8" customFormat="1" x14ac:dyDescent="0.3">
      <c r="C709" s="13"/>
      <c r="D709" s="28"/>
    </row>
    <row r="710" spans="3:4" s="8" customFormat="1" x14ac:dyDescent="0.3">
      <c r="C710" s="13"/>
      <c r="D710" s="28"/>
    </row>
    <row r="711" spans="3:4" s="8" customFormat="1" x14ac:dyDescent="0.3">
      <c r="C711" s="13"/>
      <c r="D711" s="28"/>
    </row>
    <row r="712" spans="3:4" s="8" customFormat="1" x14ac:dyDescent="0.3">
      <c r="C712" s="13"/>
      <c r="D712" s="28"/>
    </row>
    <row r="713" spans="3:4" s="8" customFormat="1" x14ac:dyDescent="0.3">
      <c r="C713" s="13"/>
      <c r="D713" s="28"/>
    </row>
    <row r="714" spans="3:4" s="8" customFormat="1" x14ac:dyDescent="0.3">
      <c r="C714" s="13"/>
      <c r="D714" s="28"/>
    </row>
    <row r="715" spans="3:4" s="8" customFormat="1" x14ac:dyDescent="0.3">
      <c r="C715" s="13"/>
      <c r="D715" s="28"/>
    </row>
    <row r="716" spans="3:4" s="8" customFormat="1" x14ac:dyDescent="0.3">
      <c r="C716" s="13"/>
      <c r="D716" s="28"/>
    </row>
    <row r="717" spans="3:4" s="8" customFormat="1" x14ac:dyDescent="0.3">
      <c r="C717" s="13"/>
      <c r="D717" s="28"/>
    </row>
    <row r="718" spans="3:4" s="8" customFormat="1" x14ac:dyDescent="0.3">
      <c r="C718" s="13"/>
      <c r="D718" s="28"/>
    </row>
    <row r="719" spans="3:4" s="8" customFormat="1" x14ac:dyDescent="0.3">
      <c r="C719" s="13"/>
      <c r="D719" s="28"/>
    </row>
    <row r="720" spans="3:4" s="8" customFormat="1" x14ac:dyDescent="0.3">
      <c r="C720" s="13"/>
      <c r="D720" s="28"/>
    </row>
    <row r="721" spans="3:4" s="8" customFormat="1" x14ac:dyDescent="0.3">
      <c r="C721" s="13"/>
      <c r="D721" s="28"/>
    </row>
    <row r="722" spans="3:4" s="8" customFormat="1" x14ac:dyDescent="0.3">
      <c r="C722" s="13"/>
      <c r="D722" s="28"/>
    </row>
    <row r="723" spans="3:4" s="8" customFormat="1" x14ac:dyDescent="0.3">
      <c r="C723" s="13"/>
      <c r="D723" s="28"/>
    </row>
    <row r="724" spans="3:4" s="8" customFormat="1" x14ac:dyDescent="0.3">
      <c r="C724" s="13"/>
      <c r="D724" s="28"/>
    </row>
    <row r="725" spans="3:4" s="8" customFormat="1" x14ac:dyDescent="0.3">
      <c r="C725" s="13"/>
      <c r="D725" s="28"/>
    </row>
    <row r="726" spans="3:4" s="8" customFormat="1" x14ac:dyDescent="0.3">
      <c r="C726" s="13"/>
      <c r="D726" s="28"/>
    </row>
    <row r="727" spans="3:4" s="8" customFormat="1" x14ac:dyDescent="0.3">
      <c r="C727" s="13"/>
      <c r="D727" s="28"/>
    </row>
    <row r="728" spans="3:4" s="8" customFormat="1" x14ac:dyDescent="0.3">
      <c r="C728" s="13"/>
      <c r="D728" s="28"/>
    </row>
    <row r="729" spans="3:4" s="8" customFormat="1" x14ac:dyDescent="0.3">
      <c r="C729" s="13"/>
      <c r="D729" s="28"/>
    </row>
    <row r="730" spans="3:4" s="8" customFormat="1" x14ac:dyDescent="0.3">
      <c r="C730" s="13"/>
      <c r="D730" s="28"/>
    </row>
    <row r="731" spans="3:4" s="8" customFormat="1" x14ac:dyDescent="0.3">
      <c r="C731" s="13"/>
      <c r="D731" s="28"/>
    </row>
    <row r="732" spans="3:4" s="8" customFormat="1" x14ac:dyDescent="0.3">
      <c r="C732" s="13"/>
      <c r="D732" s="28"/>
    </row>
    <row r="733" spans="3:4" s="8" customFormat="1" x14ac:dyDescent="0.3">
      <c r="C733" s="13"/>
      <c r="D733" s="28"/>
    </row>
    <row r="734" spans="3:4" s="8" customFormat="1" x14ac:dyDescent="0.3">
      <c r="C734" s="13"/>
      <c r="D734" s="28"/>
    </row>
    <row r="735" spans="3:4" s="8" customFormat="1" x14ac:dyDescent="0.3">
      <c r="C735" s="13"/>
      <c r="D735" s="28"/>
    </row>
    <row r="736" spans="3:4" s="8" customFormat="1" x14ac:dyDescent="0.3">
      <c r="C736" s="13"/>
      <c r="D736" s="28"/>
    </row>
    <row r="737" spans="3:4" s="8" customFormat="1" x14ac:dyDescent="0.3">
      <c r="C737" s="13"/>
      <c r="D737" s="28"/>
    </row>
    <row r="738" spans="3:4" s="8" customFormat="1" x14ac:dyDescent="0.3">
      <c r="C738" s="13"/>
      <c r="D738" s="28"/>
    </row>
    <row r="739" spans="3:4" s="8" customFormat="1" x14ac:dyDescent="0.3">
      <c r="C739" s="13"/>
      <c r="D739" s="28"/>
    </row>
    <row r="740" spans="3:4" s="8" customFormat="1" x14ac:dyDescent="0.3">
      <c r="C740" s="13"/>
      <c r="D740" s="28"/>
    </row>
    <row r="741" spans="3:4" s="8" customFormat="1" x14ac:dyDescent="0.3">
      <c r="C741" s="13"/>
      <c r="D741" s="28"/>
    </row>
    <row r="742" spans="3:4" s="8" customFormat="1" x14ac:dyDescent="0.3">
      <c r="C742" s="13"/>
      <c r="D742" s="28"/>
    </row>
    <row r="743" spans="3:4" s="8" customFormat="1" x14ac:dyDescent="0.3">
      <c r="C743" s="13"/>
      <c r="D743" s="28"/>
    </row>
    <row r="744" spans="3:4" s="8" customFormat="1" x14ac:dyDescent="0.3">
      <c r="C744" s="13"/>
      <c r="D744" s="28"/>
    </row>
    <row r="745" spans="3:4" s="8" customFormat="1" x14ac:dyDescent="0.3">
      <c r="C745" s="13"/>
      <c r="D745" s="28"/>
    </row>
    <row r="746" spans="3:4" s="8" customFormat="1" x14ac:dyDescent="0.3">
      <c r="C746" s="13"/>
      <c r="D746" s="28"/>
    </row>
    <row r="747" spans="3:4" s="8" customFormat="1" x14ac:dyDescent="0.3">
      <c r="C747" s="13"/>
      <c r="D747" s="28"/>
    </row>
    <row r="748" spans="3:4" s="8" customFormat="1" x14ac:dyDescent="0.3">
      <c r="C748" s="13"/>
      <c r="D748" s="28"/>
    </row>
    <row r="749" spans="3:4" s="8" customFormat="1" x14ac:dyDescent="0.3">
      <c r="C749" s="13"/>
      <c r="D749" s="28"/>
    </row>
    <row r="750" spans="3:4" s="8" customFormat="1" x14ac:dyDescent="0.3">
      <c r="C750" s="13"/>
      <c r="D750" s="28"/>
    </row>
    <row r="751" spans="3:4" s="8" customFormat="1" x14ac:dyDescent="0.3">
      <c r="C751" s="13"/>
      <c r="D751" s="28"/>
    </row>
    <row r="752" spans="3:4" s="8" customFormat="1" x14ac:dyDescent="0.3">
      <c r="C752" s="13"/>
      <c r="D752" s="28"/>
    </row>
    <row r="753" spans="3:4" s="8" customFormat="1" x14ac:dyDescent="0.3">
      <c r="C753" s="13"/>
      <c r="D753" s="28"/>
    </row>
    <row r="754" spans="3:4" s="8" customFormat="1" x14ac:dyDescent="0.3">
      <c r="C754" s="13"/>
      <c r="D754" s="28"/>
    </row>
    <row r="755" spans="3:4" s="8" customFormat="1" x14ac:dyDescent="0.3">
      <c r="C755" s="13"/>
      <c r="D755" s="28"/>
    </row>
    <row r="756" spans="3:4" s="8" customFormat="1" x14ac:dyDescent="0.3">
      <c r="C756" s="13"/>
      <c r="D756" s="28"/>
    </row>
    <row r="757" spans="3:4" s="8" customFormat="1" x14ac:dyDescent="0.3">
      <c r="C757" s="13"/>
      <c r="D757" s="28"/>
    </row>
    <row r="758" spans="3:4" s="8" customFormat="1" x14ac:dyDescent="0.3">
      <c r="C758" s="13"/>
      <c r="D758" s="28"/>
    </row>
    <row r="759" spans="3:4" s="8" customFormat="1" x14ac:dyDescent="0.3">
      <c r="C759" s="13"/>
      <c r="D759" s="28"/>
    </row>
    <row r="760" spans="3:4" s="8" customFormat="1" x14ac:dyDescent="0.3">
      <c r="C760" s="13"/>
      <c r="D760" s="28"/>
    </row>
    <row r="761" spans="3:4" s="8" customFormat="1" x14ac:dyDescent="0.3">
      <c r="C761" s="13"/>
      <c r="D761" s="28"/>
    </row>
    <row r="762" spans="3:4" s="8" customFormat="1" x14ac:dyDescent="0.3">
      <c r="C762" s="13"/>
      <c r="D762" s="28"/>
    </row>
    <row r="763" spans="3:4" s="8" customFormat="1" x14ac:dyDescent="0.3">
      <c r="C763" s="13"/>
      <c r="D763" s="28"/>
    </row>
    <row r="764" spans="3:4" s="8" customFormat="1" x14ac:dyDescent="0.3">
      <c r="C764" s="13"/>
      <c r="D764" s="28"/>
    </row>
    <row r="765" spans="3:4" s="8" customFormat="1" x14ac:dyDescent="0.3">
      <c r="C765" s="13"/>
      <c r="D765" s="28"/>
    </row>
    <row r="766" spans="3:4" s="8" customFormat="1" x14ac:dyDescent="0.3">
      <c r="C766" s="13"/>
      <c r="D766" s="28"/>
    </row>
    <row r="767" spans="3:4" s="8" customFormat="1" x14ac:dyDescent="0.3">
      <c r="C767" s="13"/>
      <c r="D767" s="28"/>
    </row>
    <row r="768" spans="3:4" s="8" customFormat="1" x14ac:dyDescent="0.3">
      <c r="C768" s="13"/>
      <c r="D768" s="28"/>
    </row>
    <row r="769" spans="3:4" s="8" customFormat="1" x14ac:dyDescent="0.3">
      <c r="C769" s="13"/>
      <c r="D769" s="28"/>
    </row>
    <row r="770" spans="3:4" s="8" customFormat="1" x14ac:dyDescent="0.3">
      <c r="C770" s="13"/>
      <c r="D770" s="28"/>
    </row>
    <row r="771" spans="3:4" s="8" customFormat="1" x14ac:dyDescent="0.3">
      <c r="C771" s="13"/>
      <c r="D771" s="28"/>
    </row>
    <row r="772" spans="3:4" s="8" customFormat="1" x14ac:dyDescent="0.3">
      <c r="C772" s="13"/>
      <c r="D772" s="28"/>
    </row>
    <row r="773" spans="3:4" s="8" customFormat="1" x14ac:dyDescent="0.3">
      <c r="C773" s="13"/>
      <c r="D773" s="28"/>
    </row>
    <row r="774" spans="3:4" s="8" customFormat="1" x14ac:dyDescent="0.3">
      <c r="C774" s="13"/>
      <c r="D774" s="28"/>
    </row>
    <row r="775" spans="3:4" s="8" customFormat="1" x14ac:dyDescent="0.3">
      <c r="C775" s="13"/>
      <c r="D775" s="28"/>
    </row>
    <row r="776" spans="3:4" s="8" customFormat="1" x14ac:dyDescent="0.3">
      <c r="C776" s="13"/>
      <c r="D776" s="28"/>
    </row>
    <row r="777" spans="3:4" s="8" customFormat="1" x14ac:dyDescent="0.3">
      <c r="C777" s="13"/>
      <c r="D777" s="28"/>
    </row>
    <row r="778" spans="3:4" s="8" customFormat="1" x14ac:dyDescent="0.3">
      <c r="C778" s="13"/>
      <c r="D778" s="28"/>
    </row>
    <row r="779" spans="3:4" s="8" customFormat="1" x14ac:dyDescent="0.3">
      <c r="C779" s="13"/>
      <c r="D779" s="28"/>
    </row>
    <row r="780" spans="3:4" s="8" customFormat="1" x14ac:dyDescent="0.3">
      <c r="C780" s="13"/>
      <c r="D780" s="28"/>
    </row>
    <row r="781" spans="3:4" s="8" customFormat="1" x14ac:dyDescent="0.3">
      <c r="C781" s="13"/>
      <c r="D781" s="28"/>
    </row>
    <row r="782" spans="3:4" s="8" customFormat="1" x14ac:dyDescent="0.3">
      <c r="C782" s="13"/>
      <c r="D782" s="28"/>
    </row>
    <row r="783" spans="3:4" s="8" customFormat="1" x14ac:dyDescent="0.3">
      <c r="C783" s="13"/>
      <c r="D783" s="28"/>
    </row>
    <row r="784" spans="3:4" s="8" customFormat="1" x14ac:dyDescent="0.3">
      <c r="C784" s="13"/>
      <c r="D784" s="28"/>
    </row>
    <row r="785" spans="3:4" s="8" customFormat="1" x14ac:dyDescent="0.3">
      <c r="C785" s="13"/>
      <c r="D785" s="28"/>
    </row>
    <row r="786" spans="3:4" s="8" customFormat="1" x14ac:dyDescent="0.3">
      <c r="C786" s="13"/>
      <c r="D786" s="28"/>
    </row>
    <row r="787" spans="3:4" s="8" customFormat="1" x14ac:dyDescent="0.3">
      <c r="C787" s="13"/>
      <c r="D787" s="28"/>
    </row>
    <row r="788" spans="3:4" s="8" customFormat="1" x14ac:dyDescent="0.3">
      <c r="C788" s="13"/>
      <c r="D788" s="28"/>
    </row>
    <row r="789" spans="3:4" s="8" customFormat="1" x14ac:dyDescent="0.3">
      <c r="C789" s="13"/>
      <c r="D789" s="28"/>
    </row>
    <row r="790" spans="3:4" s="8" customFormat="1" x14ac:dyDescent="0.3">
      <c r="C790" s="13"/>
      <c r="D790" s="28"/>
    </row>
    <row r="791" spans="3:4" s="8" customFormat="1" x14ac:dyDescent="0.3">
      <c r="C791" s="13"/>
      <c r="D791" s="28"/>
    </row>
    <row r="792" spans="3:4" s="8" customFormat="1" x14ac:dyDescent="0.3">
      <c r="C792" s="13"/>
      <c r="D792" s="28"/>
    </row>
    <row r="793" spans="3:4" s="8" customFormat="1" x14ac:dyDescent="0.3">
      <c r="C793" s="13"/>
      <c r="D793" s="28"/>
    </row>
    <row r="794" spans="3:4" s="8" customFormat="1" x14ac:dyDescent="0.3">
      <c r="C794" s="13"/>
      <c r="D794" s="28"/>
    </row>
    <row r="795" spans="3:4" s="8" customFormat="1" x14ac:dyDescent="0.3">
      <c r="C795" s="13"/>
      <c r="D795" s="28"/>
    </row>
    <row r="796" spans="3:4" s="8" customFormat="1" x14ac:dyDescent="0.3">
      <c r="C796" s="13"/>
      <c r="D796" s="28"/>
    </row>
    <row r="797" spans="3:4" s="8" customFormat="1" x14ac:dyDescent="0.3">
      <c r="C797" s="13"/>
      <c r="D797" s="28"/>
    </row>
    <row r="798" spans="3:4" s="8" customFormat="1" x14ac:dyDescent="0.3">
      <c r="C798" s="13"/>
      <c r="D798" s="28"/>
    </row>
    <row r="799" spans="3:4" s="8" customFormat="1" x14ac:dyDescent="0.3">
      <c r="C799" s="13"/>
      <c r="D799" s="28"/>
    </row>
    <row r="800" spans="3:4" s="8" customFormat="1" x14ac:dyDescent="0.3">
      <c r="C800" s="13"/>
      <c r="D800" s="28"/>
    </row>
    <row r="801" spans="3:4" s="8" customFormat="1" x14ac:dyDescent="0.3">
      <c r="C801" s="13"/>
      <c r="D801" s="28"/>
    </row>
    <row r="802" spans="3:4" s="8" customFormat="1" x14ac:dyDescent="0.3">
      <c r="C802" s="13"/>
      <c r="D802" s="28"/>
    </row>
    <row r="803" spans="3:4" s="8" customFormat="1" x14ac:dyDescent="0.3">
      <c r="C803" s="13"/>
      <c r="D803" s="28"/>
    </row>
    <row r="804" spans="3:4" s="8" customFormat="1" x14ac:dyDescent="0.3">
      <c r="C804" s="13"/>
      <c r="D804" s="28"/>
    </row>
    <row r="805" spans="3:4" s="8" customFormat="1" x14ac:dyDescent="0.3">
      <c r="C805" s="13"/>
      <c r="D805" s="28"/>
    </row>
    <row r="806" spans="3:4" s="8" customFormat="1" x14ac:dyDescent="0.3">
      <c r="C806" s="13"/>
      <c r="D806" s="28"/>
    </row>
    <row r="807" spans="3:4" s="8" customFormat="1" x14ac:dyDescent="0.3">
      <c r="C807" s="13"/>
      <c r="D807" s="28"/>
    </row>
    <row r="808" spans="3:4" s="8" customFormat="1" x14ac:dyDescent="0.3">
      <c r="C808" s="13"/>
      <c r="D808" s="28"/>
    </row>
    <row r="809" spans="3:4" s="8" customFormat="1" x14ac:dyDescent="0.3">
      <c r="C809" s="13"/>
      <c r="D809" s="28"/>
    </row>
    <row r="810" spans="3:4" s="8" customFormat="1" x14ac:dyDescent="0.3">
      <c r="C810" s="13"/>
      <c r="D810" s="28"/>
    </row>
    <row r="811" spans="3:4" s="8" customFormat="1" x14ac:dyDescent="0.3">
      <c r="C811" s="13"/>
      <c r="D811" s="28"/>
    </row>
    <row r="812" spans="3:4" s="8" customFormat="1" x14ac:dyDescent="0.3">
      <c r="C812" s="13"/>
      <c r="D812" s="28"/>
    </row>
    <row r="813" spans="3:4" s="8" customFormat="1" x14ac:dyDescent="0.3">
      <c r="C813" s="13"/>
      <c r="D813" s="28"/>
    </row>
    <row r="814" spans="3:4" s="8" customFormat="1" x14ac:dyDescent="0.3">
      <c r="C814" s="13"/>
      <c r="D814" s="28"/>
    </row>
    <row r="815" spans="3:4" s="8" customFormat="1" x14ac:dyDescent="0.3">
      <c r="C815" s="13"/>
      <c r="D815" s="28"/>
    </row>
    <row r="816" spans="3:4" s="8" customFormat="1" x14ac:dyDescent="0.3">
      <c r="C816" s="13"/>
      <c r="D816" s="28"/>
    </row>
    <row r="817" spans="3:4" s="8" customFormat="1" x14ac:dyDescent="0.3">
      <c r="C817" s="13"/>
      <c r="D817" s="28"/>
    </row>
    <row r="818" spans="3:4" s="8" customFormat="1" x14ac:dyDescent="0.3">
      <c r="C818" s="13"/>
      <c r="D818" s="28"/>
    </row>
    <row r="819" spans="3:4" s="8" customFormat="1" x14ac:dyDescent="0.3">
      <c r="C819" s="13"/>
      <c r="D819" s="28"/>
    </row>
    <row r="820" spans="3:4" s="8" customFormat="1" x14ac:dyDescent="0.3">
      <c r="C820" s="13"/>
      <c r="D820" s="28"/>
    </row>
    <row r="821" spans="3:4" s="8" customFormat="1" x14ac:dyDescent="0.3">
      <c r="C821" s="13"/>
      <c r="D821" s="28"/>
    </row>
    <row r="822" spans="3:4" s="8" customFormat="1" x14ac:dyDescent="0.3">
      <c r="C822" s="13"/>
      <c r="D822" s="28"/>
    </row>
    <row r="823" spans="3:4" s="8" customFormat="1" x14ac:dyDescent="0.3">
      <c r="C823" s="13"/>
      <c r="D823" s="28"/>
    </row>
    <row r="824" spans="3:4" s="8" customFormat="1" x14ac:dyDescent="0.3">
      <c r="C824" s="13"/>
      <c r="D824" s="28"/>
    </row>
    <row r="825" spans="3:4" s="8" customFormat="1" x14ac:dyDescent="0.3">
      <c r="C825" s="13"/>
      <c r="D825" s="28"/>
    </row>
    <row r="826" spans="3:4" s="8" customFormat="1" x14ac:dyDescent="0.3">
      <c r="C826" s="13"/>
      <c r="D826" s="28"/>
    </row>
    <row r="827" spans="3:4" s="8" customFormat="1" x14ac:dyDescent="0.3">
      <c r="C827" s="13"/>
      <c r="D827" s="28"/>
    </row>
    <row r="828" spans="3:4" s="8" customFormat="1" x14ac:dyDescent="0.3">
      <c r="C828" s="13"/>
      <c r="D828" s="28"/>
    </row>
    <row r="829" spans="3:4" s="8" customFormat="1" x14ac:dyDescent="0.3">
      <c r="C829" s="13"/>
      <c r="D829" s="28"/>
    </row>
    <row r="830" spans="3:4" s="8" customFormat="1" x14ac:dyDescent="0.3">
      <c r="C830" s="13"/>
      <c r="D830" s="28"/>
    </row>
    <row r="831" spans="3:4" s="8" customFormat="1" x14ac:dyDescent="0.3">
      <c r="C831" s="13"/>
      <c r="D831" s="28"/>
    </row>
    <row r="832" spans="3:4" s="8" customFormat="1" x14ac:dyDescent="0.3">
      <c r="C832" s="13"/>
      <c r="D832" s="28"/>
    </row>
    <row r="833" spans="3:4" s="8" customFormat="1" x14ac:dyDescent="0.3">
      <c r="C833" s="13"/>
      <c r="D833" s="28"/>
    </row>
    <row r="834" spans="3:4" s="8" customFormat="1" x14ac:dyDescent="0.3">
      <c r="C834" s="13"/>
      <c r="D834" s="28"/>
    </row>
    <row r="835" spans="3:4" s="8" customFormat="1" x14ac:dyDescent="0.3">
      <c r="C835" s="13"/>
      <c r="D835" s="28"/>
    </row>
    <row r="836" spans="3:4" s="8" customFormat="1" x14ac:dyDescent="0.3">
      <c r="C836" s="13"/>
      <c r="D836" s="28"/>
    </row>
    <row r="837" spans="3:4" s="8" customFormat="1" x14ac:dyDescent="0.3">
      <c r="C837" s="13"/>
      <c r="D837" s="28"/>
    </row>
    <row r="838" spans="3:4" s="8" customFormat="1" x14ac:dyDescent="0.3">
      <c r="C838" s="13"/>
      <c r="D838" s="28"/>
    </row>
    <row r="839" spans="3:4" s="8" customFormat="1" x14ac:dyDescent="0.3">
      <c r="C839" s="13"/>
      <c r="D839" s="28"/>
    </row>
    <row r="840" spans="3:4" s="8" customFormat="1" x14ac:dyDescent="0.3">
      <c r="C840" s="13"/>
      <c r="D840" s="28"/>
    </row>
    <row r="841" spans="3:4" s="8" customFormat="1" x14ac:dyDescent="0.3">
      <c r="C841" s="13"/>
      <c r="D841" s="28"/>
    </row>
    <row r="842" spans="3:4" s="8" customFormat="1" x14ac:dyDescent="0.3">
      <c r="C842" s="13"/>
      <c r="D842" s="28"/>
    </row>
    <row r="843" spans="3:4" s="8" customFormat="1" x14ac:dyDescent="0.3">
      <c r="C843" s="13"/>
      <c r="D843" s="28"/>
    </row>
    <row r="844" spans="3:4" s="8" customFormat="1" x14ac:dyDescent="0.3">
      <c r="C844" s="13"/>
      <c r="D844" s="28"/>
    </row>
    <row r="845" spans="3:4" s="8" customFormat="1" x14ac:dyDescent="0.3">
      <c r="C845" s="13"/>
      <c r="D845" s="28"/>
    </row>
    <row r="846" spans="3:4" s="8" customFormat="1" x14ac:dyDescent="0.3">
      <c r="C846" s="13"/>
      <c r="D846" s="28"/>
    </row>
    <row r="847" spans="3:4" s="8" customFormat="1" x14ac:dyDescent="0.3">
      <c r="C847" s="13"/>
      <c r="D847" s="28"/>
    </row>
    <row r="848" spans="3:4" s="8" customFormat="1" x14ac:dyDescent="0.3">
      <c r="C848" s="13"/>
      <c r="D848" s="28"/>
    </row>
    <row r="849" spans="3:4" s="8" customFormat="1" x14ac:dyDescent="0.3">
      <c r="C849" s="13"/>
      <c r="D849" s="28"/>
    </row>
    <row r="850" spans="3:4" s="8" customFormat="1" x14ac:dyDescent="0.3">
      <c r="C850" s="13"/>
      <c r="D850" s="28"/>
    </row>
    <row r="851" spans="3:4" s="8" customFormat="1" x14ac:dyDescent="0.3">
      <c r="C851" s="13"/>
      <c r="D851" s="28"/>
    </row>
    <row r="852" spans="3:4" s="8" customFormat="1" x14ac:dyDescent="0.3">
      <c r="C852" s="13"/>
      <c r="D852" s="28"/>
    </row>
    <row r="853" spans="3:4" s="8" customFormat="1" x14ac:dyDescent="0.3">
      <c r="C853" s="13"/>
      <c r="D853" s="28"/>
    </row>
    <row r="854" spans="3:4" s="8" customFormat="1" x14ac:dyDescent="0.3">
      <c r="C854" s="13"/>
      <c r="D854" s="28"/>
    </row>
    <row r="855" spans="3:4" s="8" customFormat="1" x14ac:dyDescent="0.3">
      <c r="C855" s="13"/>
      <c r="D855" s="28"/>
    </row>
    <row r="856" spans="3:4" s="8" customFormat="1" x14ac:dyDescent="0.3">
      <c r="C856" s="13"/>
      <c r="D856" s="28"/>
    </row>
    <row r="857" spans="3:4" s="8" customFormat="1" x14ac:dyDescent="0.3">
      <c r="C857" s="13"/>
      <c r="D857" s="28"/>
    </row>
    <row r="858" spans="3:4" s="8" customFormat="1" x14ac:dyDescent="0.3">
      <c r="C858" s="13"/>
      <c r="D858" s="28"/>
    </row>
    <row r="859" spans="3:4" s="8" customFormat="1" x14ac:dyDescent="0.3">
      <c r="C859" s="13"/>
      <c r="D859" s="28"/>
    </row>
    <row r="860" spans="3:4" s="8" customFormat="1" x14ac:dyDescent="0.3">
      <c r="C860" s="13"/>
      <c r="D860" s="28"/>
    </row>
    <row r="861" spans="3:4" s="8" customFormat="1" x14ac:dyDescent="0.3">
      <c r="C861" s="13"/>
      <c r="D861" s="28"/>
    </row>
    <row r="862" spans="3:4" s="8" customFormat="1" x14ac:dyDescent="0.3">
      <c r="C862" s="13"/>
      <c r="D862" s="28"/>
    </row>
    <row r="863" spans="3:4" s="8" customFormat="1" x14ac:dyDescent="0.3">
      <c r="C863" s="13"/>
      <c r="D863" s="28"/>
    </row>
    <row r="864" spans="3:4" s="8" customFormat="1" x14ac:dyDescent="0.3">
      <c r="C864" s="13"/>
      <c r="D864" s="28"/>
    </row>
    <row r="865" spans="3:4" s="8" customFormat="1" x14ac:dyDescent="0.3">
      <c r="C865" s="13"/>
      <c r="D865" s="28"/>
    </row>
    <row r="866" spans="3:4" s="8" customFormat="1" x14ac:dyDescent="0.3">
      <c r="C866" s="13"/>
      <c r="D866" s="28"/>
    </row>
    <row r="867" spans="3:4" s="8" customFormat="1" x14ac:dyDescent="0.3">
      <c r="C867" s="13"/>
      <c r="D867" s="28"/>
    </row>
    <row r="868" spans="3:4" s="8" customFormat="1" x14ac:dyDescent="0.3">
      <c r="C868" s="13"/>
      <c r="D868" s="28"/>
    </row>
    <row r="869" spans="3:4" s="8" customFormat="1" x14ac:dyDescent="0.3">
      <c r="C869" s="13"/>
      <c r="D869" s="28"/>
    </row>
    <row r="870" spans="3:4" s="8" customFormat="1" x14ac:dyDescent="0.3">
      <c r="C870" s="13"/>
      <c r="D870" s="28"/>
    </row>
    <row r="871" spans="3:4" s="8" customFormat="1" x14ac:dyDescent="0.3">
      <c r="C871" s="13"/>
      <c r="D871" s="28"/>
    </row>
    <row r="872" spans="3:4" s="8" customFormat="1" x14ac:dyDescent="0.3">
      <c r="C872" s="13"/>
      <c r="D872" s="28"/>
    </row>
    <row r="873" spans="3:4" s="8" customFormat="1" x14ac:dyDescent="0.3">
      <c r="C873" s="13"/>
      <c r="D873" s="28"/>
    </row>
    <row r="874" spans="3:4" s="8" customFormat="1" x14ac:dyDescent="0.3">
      <c r="C874" s="13"/>
      <c r="D874" s="28"/>
    </row>
    <row r="875" spans="3:4" s="8" customFormat="1" x14ac:dyDescent="0.3">
      <c r="C875" s="13"/>
      <c r="D875" s="28"/>
    </row>
    <row r="876" spans="3:4" s="8" customFormat="1" x14ac:dyDescent="0.3">
      <c r="C876" s="13"/>
      <c r="D876" s="28"/>
    </row>
    <row r="877" spans="3:4" s="8" customFormat="1" x14ac:dyDescent="0.3">
      <c r="C877" s="13"/>
      <c r="D877" s="28"/>
    </row>
    <row r="878" spans="3:4" s="8" customFormat="1" x14ac:dyDescent="0.3">
      <c r="C878" s="13"/>
      <c r="D878" s="28"/>
    </row>
    <row r="879" spans="3:4" s="8" customFormat="1" x14ac:dyDescent="0.3">
      <c r="C879" s="13"/>
      <c r="D879" s="28"/>
    </row>
    <row r="880" spans="3:4" x14ac:dyDescent="0.3">
      <c r="C880" s="13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DF49-5EBF-473B-B431-0FFE2F31096E}">
  <dimension ref="A1:D24"/>
  <sheetViews>
    <sheetView topLeftCell="B1" zoomScale="85" zoomScaleNormal="85" workbookViewId="0">
      <selection activeCell="F25" sqref="F25"/>
    </sheetView>
  </sheetViews>
  <sheetFormatPr baseColWidth="10" defaultColWidth="11.5546875" defaultRowHeight="14.4" x14ac:dyDescent="0.3"/>
  <cols>
    <col min="1" max="1" width="40.5546875" style="8" hidden="1" customWidth="1"/>
    <col min="2" max="2" width="75.5546875" style="8" customWidth="1"/>
    <col min="3" max="3" width="40.5546875" style="8" hidden="1" customWidth="1"/>
    <col min="4" max="4" width="15.6640625" style="13" customWidth="1"/>
    <col min="5" max="5" width="11.5546875" style="8"/>
    <col min="6" max="6" width="53.6640625" style="8" customWidth="1"/>
    <col min="7" max="7" width="0" style="8" hidden="1" customWidth="1"/>
    <col min="8" max="16384" width="11.5546875" style="8"/>
  </cols>
  <sheetData>
    <row r="1" spans="1:4" ht="23.4" x14ac:dyDescent="0.45">
      <c r="B1" s="14" t="s">
        <v>302</v>
      </c>
    </row>
    <row r="3" spans="1:4" ht="15" thickBot="1" x14ac:dyDescent="0.35"/>
    <row r="4" spans="1:4" ht="23.4" x14ac:dyDescent="0.45">
      <c r="B4" s="17" t="s">
        <v>303</v>
      </c>
      <c r="C4" s="18"/>
      <c r="D4" s="24">
        <f>AVERAGE(D5,D7,D9,D11,D13,D15,D17,D19,D21)</f>
        <v>2.7777777777777772</v>
      </c>
    </row>
    <row r="5" spans="1:4" ht="18" x14ac:dyDescent="0.35">
      <c r="A5" s="8" t="str">
        <f>Questionnaire!E4</f>
        <v>Architecture Governance Capability</v>
      </c>
      <c r="B5" s="27" t="str" cm="1">
        <f t="array" ref="B5:C5">_xlfn.TEXTSPLIT(A5," Capability")</f>
        <v>Architecture Governance</v>
      </c>
      <c r="C5" s="21" t="str">
        <v/>
      </c>
      <c r="D5" s="103">
        <f>Questionnaire!D4</f>
        <v>3.6</v>
      </c>
    </row>
    <row r="6" spans="1:4" ht="18" x14ac:dyDescent="0.35">
      <c r="B6" s="23" t="s">
        <v>7</v>
      </c>
      <c r="C6" s="22"/>
      <c r="D6" s="104"/>
    </row>
    <row r="7" spans="1:4" ht="18" x14ac:dyDescent="0.35">
      <c r="A7" s="8" t="str">
        <f>Questionnaire!E36</f>
        <v>Architecture Practice Process Method Capability</v>
      </c>
      <c r="B7" s="27" t="str" cm="1">
        <f t="array" ref="B7:C7">_xlfn.TEXTSPLIT(A7," Capability")</f>
        <v>Architecture Practice Process Method</v>
      </c>
      <c r="C7" s="21" t="str">
        <v/>
      </c>
      <c r="D7" s="103">
        <f>Questionnaire!D36</f>
        <v>3</v>
      </c>
    </row>
    <row r="8" spans="1:4" ht="18" x14ac:dyDescent="0.35">
      <c r="B8" s="23" t="s">
        <v>40</v>
      </c>
      <c r="C8" s="22"/>
      <c r="D8" s="104"/>
    </row>
    <row r="9" spans="1:4" ht="18" x14ac:dyDescent="0.35">
      <c r="A9" s="8" t="str">
        <f>Questionnaire!E68</f>
        <v>Business &amp; IT Strategy Linkage Capability</v>
      </c>
      <c r="B9" s="27" t="str" cm="1">
        <f t="array" ref="B9:C9">_xlfn.TEXTSPLIT(A9," Capability")</f>
        <v>Business &amp; IT Strategy Linkage</v>
      </c>
      <c r="C9" s="21" t="str">
        <v/>
      </c>
      <c r="D9" s="105">
        <f>Questionnaire!D68</f>
        <v>1.8</v>
      </c>
    </row>
    <row r="10" spans="1:4" ht="18" x14ac:dyDescent="0.35">
      <c r="B10" s="23" t="s">
        <v>73</v>
      </c>
      <c r="C10" s="22"/>
      <c r="D10" s="104"/>
    </row>
    <row r="11" spans="1:4" ht="18" x14ac:dyDescent="0.35">
      <c r="A11" s="8" t="str">
        <f>Questionnaire!E100</f>
        <v>Communication Capability</v>
      </c>
      <c r="B11" s="27" t="str" cm="1">
        <f t="array" ref="B11:C11">_xlfn.TEXTSPLIT(A11," Capability")</f>
        <v>Communication</v>
      </c>
      <c r="C11" s="21" t="str">
        <v/>
      </c>
      <c r="D11" s="106">
        <f>Questionnaire!D100</f>
        <v>2.6</v>
      </c>
    </row>
    <row r="12" spans="1:4" ht="18" x14ac:dyDescent="0.35">
      <c r="B12" s="23" t="s">
        <v>106</v>
      </c>
      <c r="C12" s="22"/>
      <c r="D12" s="104"/>
    </row>
    <row r="13" spans="1:4" ht="18" x14ac:dyDescent="0.35">
      <c r="A13" s="8" t="str">
        <f>Questionnaire!E132</f>
        <v>Tools &amp; Repository Capability</v>
      </c>
      <c r="B13" s="27" t="str" cm="1">
        <f t="array" ref="B13:C13">_xlfn.TEXTSPLIT(A13," Capability")</f>
        <v>Tools &amp; Repository</v>
      </c>
      <c r="C13" s="21" t="str">
        <v/>
      </c>
      <c r="D13" s="103">
        <f>Questionnaire!D132</f>
        <v>3</v>
      </c>
    </row>
    <row r="14" spans="1:4" ht="18" x14ac:dyDescent="0.35">
      <c r="B14" s="23" t="s">
        <v>139</v>
      </c>
      <c r="C14" s="22"/>
      <c r="D14" s="104"/>
    </row>
    <row r="15" spans="1:4" ht="18" x14ac:dyDescent="0.35">
      <c r="A15" s="8" t="str">
        <f>Questionnaire!E164</f>
        <v>People and Team Capability</v>
      </c>
      <c r="B15" s="27" t="str" cm="1">
        <f t="array" ref="B15:C15">_xlfn.TEXTSPLIT(A15," Capability")</f>
        <v>People and Team</v>
      </c>
      <c r="C15" s="21" t="str">
        <v/>
      </c>
      <c r="D15" s="105">
        <f>Questionnaire!D164</f>
        <v>1.4</v>
      </c>
    </row>
    <row r="16" spans="1:4" ht="18" x14ac:dyDescent="0.35">
      <c r="B16" s="23" t="s">
        <v>172</v>
      </c>
      <c r="C16" s="22"/>
      <c r="D16" s="104"/>
    </row>
    <row r="17" spans="1:4" ht="18" x14ac:dyDescent="0.35">
      <c r="A17" s="8" t="str">
        <f>Questionnaire!E196</f>
        <v>Architecture Content &amp; Deliverables Capability</v>
      </c>
      <c r="B17" s="27" t="str" cm="1">
        <f t="array" ref="B17:C17">_xlfn.TEXTSPLIT(A17," Capability")</f>
        <v>Architecture Content &amp; Deliverables</v>
      </c>
      <c r="C17" s="21" t="str">
        <v/>
      </c>
      <c r="D17" s="103">
        <f>Questionnaire!D196</f>
        <v>4</v>
      </c>
    </row>
    <row r="18" spans="1:4" ht="18" x14ac:dyDescent="0.35">
      <c r="B18" s="23" t="s">
        <v>205</v>
      </c>
      <c r="C18" s="22"/>
      <c r="D18" s="104"/>
    </row>
    <row r="19" spans="1:4" ht="18" x14ac:dyDescent="0.35">
      <c r="A19" s="8" t="str">
        <f>Questionnaire!E228</f>
        <v>Architecture Metrics Measurement Capability</v>
      </c>
      <c r="B19" s="27" t="str" cm="1">
        <f t="array" ref="B19:C19">_xlfn.TEXTSPLIT(A19," Capability")</f>
        <v>Architecture Metrics Measurement</v>
      </c>
      <c r="C19" s="21" t="str">
        <v/>
      </c>
      <c r="D19" s="106">
        <f>Questionnaire!D228</f>
        <v>2.2000000000000002</v>
      </c>
    </row>
    <row r="20" spans="1:4" ht="18" x14ac:dyDescent="0.35">
      <c r="B20" s="23" t="s">
        <v>238</v>
      </c>
      <c r="C20" s="22"/>
      <c r="D20" s="104"/>
    </row>
    <row r="21" spans="1:4" ht="18" x14ac:dyDescent="0.35">
      <c r="A21" s="8" t="str">
        <f>Questionnaire!E260</f>
        <v>Organisational Capability</v>
      </c>
      <c r="B21" s="27" t="str" cm="1">
        <f t="array" ref="B21:C21">_xlfn.TEXTSPLIT(A21," Capability")</f>
        <v>Organisational</v>
      </c>
      <c r="C21" s="21" t="str">
        <v/>
      </c>
      <c r="D21" s="103">
        <f>Questionnaire!D260</f>
        <v>3.4</v>
      </c>
    </row>
    <row r="22" spans="1:4" ht="30" thickBot="1" x14ac:dyDescent="0.4">
      <c r="B22" s="19" t="s">
        <v>271</v>
      </c>
      <c r="C22" s="20"/>
      <c r="D22" s="107"/>
    </row>
    <row r="24" spans="1:4" x14ac:dyDescent="0.3">
      <c r="B24" s="26" t="s">
        <v>304</v>
      </c>
      <c r="C24" s="15"/>
      <c r="D24" s="15"/>
    </row>
  </sheetData>
  <conditionalFormatting sqref="D5:D22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A4C5-1378-4367-B75B-0052442DD9FE}">
  <sheetPr filterMode="1"/>
  <dimension ref="B1:D291"/>
  <sheetViews>
    <sheetView showGridLines="0" zoomScale="90" zoomScaleNormal="90" workbookViewId="0">
      <selection activeCell="C301" sqref="C301"/>
    </sheetView>
  </sheetViews>
  <sheetFormatPr baseColWidth="10" defaultColWidth="11.44140625" defaultRowHeight="14.4" x14ac:dyDescent="0.3"/>
  <cols>
    <col min="2" max="2" width="52.44140625" style="36" customWidth="1"/>
    <col min="3" max="3" width="107.33203125" customWidth="1"/>
    <col min="4" max="4" width="11.5546875" style="7" customWidth="1"/>
  </cols>
  <sheetData>
    <row r="1" spans="2:4" ht="15" thickBot="1" x14ac:dyDescent="0.35"/>
    <row r="2" spans="2:4" ht="21" x14ac:dyDescent="0.4">
      <c r="B2" s="64"/>
      <c r="C2" s="65" t="s">
        <v>305</v>
      </c>
      <c r="D2" s="66" t="s">
        <v>2</v>
      </c>
    </row>
    <row r="3" spans="2:4" ht="18.600000000000001" hidden="1" thickBot="1" x14ac:dyDescent="0.35">
      <c r="B3" s="67"/>
      <c r="C3" s="68" t="str">
        <f>Questionnaire!E4</f>
        <v>Architecture Governance Capability</v>
      </c>
      <c r="D3" s="69">
        <f>Questionnaire!D4</f>
        <v>3.6</v>
      </c>
    </row>
    <row r="4" spans="2:4" hidden="1" x14ac:dyDescent="0.3">
      <c r="C4" s="63" t="str">
        <f>Questionnaire!E5</f>
        <v>Assurer la cohérence des transformations et limiter les dérives</v>
      </c>
      <c r="D4" s="63">
        <f>Questionnaire!D5</f>
        <v>0</v>
      </c>
    </row>
    <row r="5" spans="2:4" hidden="1" x14ac:dyDescent="0.3">
      <c r="B5" s="117" t="str">
        <f>VLOOKUP(C5,Recherche!$B$2:$E$226,4)</f>
        <v>1. Architecture Governance Capability</v>
      </c>
      <c r="C5" s="70" t="str">
        <f>Questionnaire!E6</f>
        <v>1Q1. Existe-t-il une gouvernance d’architecture clairement définie (comité d’architecture, processus de validation, etc.) ?</v>
      </c>
      <c r="D5" s="71">
        <f>Questionnaire!D6</f>
        <v>2</v>
      </c>
    </row>
    <row r="6" spans="2:4" ht="15" hidden="1" thickBot="1" x14ac:dyDescent="0.35">
      <c r="B6" s="118"/>
      <c r="C6" s="72" t="str">
        <f>Questionnaire!E7</f>
        <v>Aucun comité d’architecture ni processus formel ; décisions au cas par cas.</v>
      </c>
      <c r="D6" s="73" t="str">
        <f>Questionnaire!D7</f>
        <v/>
      </c>
    </row>
    <row r="7" spans="2:4" hidden="1" x14ac:dyDescent="0.3">
      <c r="B7" s="119"/>
      <c r="C7" s="44" t="str">
        <f>Questionnaire!E8</f>
        <v>Un comité est envisagé mais pas encore actif ; peu de formalisation.</v>
      </c>
      <c r="D7" s="44">
        <f>Questionnaire!D8</f>
        <v>2</v>
      </c>
    </row>
    <row r="8" spans="2:4" hidden="1" x14ac:dyDescent="0.3">
      <c r="B8" s="119"/>
      <c r="C8" s="35" t="str">
        <f>Questionnaire!E9</f>
        <v>Comité existant avec rôles flous et gouvernance immature.</v>
      </c>
      <c r="D8" s="35" t="str">
        <f>Questionnaire!D9</f>
        <v/>
      </c>
    </row>
    <row r="9" spans="2:4" hidden="1" x14ac:dyDescent="0.3">
      <c r="B9" s="119"/>
      <c r="C9" s="35" t="str">
        <f>Questionnaire!E10</f>
        <v>Comité d’architecture bien défini, processus documenté et suivi.</v>
      </c>
      <c r="D9" s="35" t="str">
        <f>Questionnaire!D10</f>
        <v/>
      </c>
    </row>
    <row r="10" spans="2:4" hidden="1" x14ac:dyDescent="0.3">
      <c r="B10" s="119"/>
      <c r="C10" s="35" t="str">
        <f>Questionnaire!E11</f>
        <v>Gouvernance totalement intégrée et pilotée de façon stratégique.</v>
      </c>
      <c r="D10" s="35" t="str">
        <f>Questionnaire!D11</f>
        <v/>
      </c>
    </row>
    <row r="11" spans="2:4" hidden="1" x14ac:dyDescent="0.3">
      <c r="B11" s="119"/>
      <c r="C11" s="32" t="str">
        <f>Questionnaire!E12</f>
        <v>1Q2. Les principes et standards d’architecture sont-ils documentés et appliqués de façon cohérente ?</v>
      </c>
      <c r="D11" s="32">
        <f>Questionnaire!D12</f>
        <v>4</v>
      </c>
    </row>
    <row r="12" spans="2:4" hidden="1" x14ac:dyDescent="0.3">
      <c r="B12" s="119"/>
      <c r="C12" s="35" t="str">
        <f>Questionnaire!E13</f>
        <v>Aucun principe ni standard défini.</v>
      </c>
      <c r="D12" s="35" t="str">
        <f>Questionnaire!D13</f>
        <v/>
      </c>
    </row>
    <row r="13" spans="2:4" hidden="1" x14ac:dyDescent="0.3">
      <c r="B13" s="119"/>
      <c r="C13" s="35" t="str">
        <f>Questionnaire!E14</f>
        <v>Principes en cours de rédaction, non appliqués systématiquement.</v>
      </c>
      <c r="D13" s="35" t="str">
        <f>Questionnaire!D14</f>
        <v/>
      </c>
    </row>
    <row r="14" spans="2:4" hidden="1" x14ac:dyDescent="0.3">
      <c r="B14" s="119"/>
      <c r="C14" s="35" t="str">
        <f>Questionnaire!E15</f>
        <v>Principes définis mais appliqués de façon variable.</v>
      </c>
      <c r="D14" s="35" t="str">
        <f>Questionnaire!D15</f>
        <v/>
      </c>
    </row>
    <row r="15" spans="2:4" hidden="1" x14ac:dyDescent="0.3">
      <c r="B15" s="119"/>
      <c r="C15" s="35" t="str">
        <f>Questionnaire!E16</f>
        <v>Principes formalisés, communiqués et appliqués régulièrement.</v>
      </c>
      <c r="D15" s="35">
        <f>Questionnaire!D16</f>
        <v>4</v>
      </c>
    </row>
    <row r="16" spans="2:4" hidden="1" x14ac:dyDescent="0.3">
      <c r="B16" s="119"/>
      <c r="C16" s="35" t="str">
        <f>Questionnaire!E17</f>
        <v>Principes intégrés aux processus projets, suivis et améliorés.</v>
      </c>
      <c r="D16" s="35" t="str">
        <f>Questionnaire!D17</f>
        <v/>
      </c>
    </row>
    <row r="17" spans="2:4" hidden="1" x14ac:dyDescent="0.3">
      <c r="B17" s="119"/>
      <c r="C17" s="32" t="str">
        <f>Questionnaire!E18</f>
        <v>1Q3. Les dérogations ou exceptions sont-elles formellement gérées et suivies ?</v>
      </c>
      <c r="D17" s="32">
        <f>Questionnaire!D18</f>
        <v>3</v>
      </c>
    </row>
    <row r="18" spans="2:4" hidden="1" x14ac:dyDescent="0.3">
      <c r="B18" s="119"/>
      <c r="C18" s="35" t="str">
        <f>Questionnaire!E19</f>
        <v>Aucune gestion des dérogations.</v>
      </c>
      <c r="D18" s="35" t="str">
        <f>Questionnaire!D19</f>
        <v/>
      </c>
    </row>
    <row r="19" spans="2:4" hidden="1" x14ac:dyDescent="0.3">
      <c r="B19" s="119"/>
      <c r="C19" s="35" t="str">
        <f>Questionnaire!E20</f>
        <v>Gestion informelle des dérogations au cas par cas.</v>
      </c>
      <c r="D19" s="35" t="str">
        <f>Questionnaire!D20</f>
        <v/>
      </c>
    </row>
    <row r="20" spans="2:4" hidden="1" x14ac:dyDescent="0.3">
      <c r="B20" s="119"/>
      <c r="C20" s="35" t="str">
        <f>Questionnaire!E21</f>
        <v>Processus partiellement défini, dérogations tracées mais analyse incomplète.</v>
      </c>
      <c r="D20" s="35">
        <f>Questionnaire!D21</f>
        <v>3</v>
      </c>
    </row>
    <row r="21" spans="2:4" hidden="1" x14ac:dyDescent="0.3">
      <c r="B21" s="119"/>
      <c r="C21" s="35" t="str">
        <f>Questionnaire!E22</f>
        <v>Processus formalisé, dérogations documentées et analysées.</v>
      </c>
      <c r="D21" s="35" t="str">
        <f>Questionnaire!D22</f>
        <v/>
      </c>
    </row>
    <row r="22" spans="2:4" hidden="1" x14ac:dyDescent="0.3">
      <c r="B22" s="119"/>
      <c r="C22" s="35" t="str">
        <f>Questionnaire!E23</f>
        <v>Gestion des dérogations intégrée et optimisée, avec reporting.</v>
      </c>
      <c r="D22" s="35" t="str">
        <f>Questionnaire!D23</f>
        <v/>
      </c>
    </row>
    <row r="23" spans="2:4" hidden="1" x14ac:dyDescent="0.3">
      <c r="B23" s="119"/>
      <c r="C23" s="32" t="str">
        <f>Questionnaire!E24</f>
        <v>1Q4. Les décisions d’architecture sont-elles prises de manière transparente et tracées ?</v>
      </c>
      <c r="D23" s="32">
        <f>Questionnaire!D24</f>
        <v>5</v>
      </c>
    </row>
    <row r="24" spans="2:4" hidden="1" x14ac:dyDescent="0.3">
      <c r="B24" s="119"/>
      <c r="C24" s="35" t="str">
        <f>Questionnaire!E25</f>
        <v>Décisions prises de manière ad hoc et non documentées.</v>
      </c>
      <c r="D24" s="35" t="str">
        <f>Questionnaire!D25</f>
        <v/>
      </c>
    </row>
    <row r="25" spans="2:4" hidden="1" x14ac:dyDescent="0.3">
      <c r="B25" s="119"/>
      <c r="C25" s="35" t="str">
        <f>Questionnaire!E26</f>
        <v>Certaines décisions sont documentées mais la traçabilité est limitée.</v>
      </c>
      <c r="D25" s="35" t="str">
        <f>Questionnaire!D26</f>
        <v/>
      </c>
    </row>
    <row r="26" spans="2:4" hidden="1" x14ac:dyDescent="0.3">
      <c r="B26" s="119"/>
      <c r="C26" s="35" t="str">
        <f>Questionnaire!E27</f>
        <v>Décisions tracées mais manque de communication.</v>
      </c>
      <c r="D26" s="35" t="str">
        <f>Questionnaire!D27</f>
        <v/>
      </c>
    </row>
    <row r="27" spans="2:4" hidden="1" x14ac:dyDescent="0.3">
      <c r="B27" s="119"/>
      <c r="C27" s="35" t="str">
        <f>Questionnaire!E28</f>
        <v>Décisions documentées, tracées et communiquées.</v>
      </c>
      <c r="D27" s="35" t="str">
        <f>Questionnaire!D28</f>
        <v/>
      </c>
    </row>
    <row r="28" spans="2:4" hidden="1" x14ac:dyDescent="0.3">
      <c r="B28" s="119"/>
      <c r="C28" s="35" t="str">
        <f>Questionnaire!E29</f>
        <v>Décisions tracées et disponibles via outil/référentiel.</v>
      </c>
      <c r="D28" s="35">
        <f>Questionnaire!D29</f>
        <v>5</v>
      </c>
    </row>
    <row r="29" spans="2:4" hidden="1" x14ac:dyDescent="0.3">
      <c r="B29" s="119"/>
      <c r="C29" s="32" t="str">
        <f>Questionnaire!E30</f>
        <v>1Q5. Les parties prenantes (métiers et IT) participent-elles aux décisions d’architecture ?</v>
      </c>
      <c r="D29" s="32">
        <f>Questionnaire!D30</f>
        <v>4</v>
      </c>
    </row>
    <row r="30" spans="2:4" hidden="1" x14ac:dyDescent="0.3">
      <c r="B30" s="119"/>
      <c r="C30" s="35" t="str">
        <f>Questionnaire!E31</f>
        <v>Aucune implication des parties prenantes.</v>
      </c>
      <c r="D30" s="35" t="str">
        <f>Questionnaire!D31</f>
        <v/>
      </c>
    </row>
    <row r="31" spans="2:4" hidden="1" x14ac:dyDescent="0.3">
      <c r="B31" s="119"/>
      <c r="C31" s="35" t="str">
        <f>Questionnaire!E32</f>
        <v>Consultation ponctuelle des parties prenantes.</v>
      </c>
      <c r="D31" s="35" t="str">
        <f>Questionnaire!D32</f>
        <v/>
      </c>
    </row>
    <row r="32" spans="2:4" hidden="1" x14ac:dyDescent="0.3">
      <c r="B32" s="119"/>
      <c r="C32" s="35" t="str">
        <f>Questionnaire!E33</f>
        <v>Parties prenantes consultées mais peu impliquées.</v>
      </c>
      <c r="D32" s="35" t="str">
        <f>Questionnaire!D33</f>
        <v/>
      </c>
    </row>
    <row r="33" spans="2:4" hidden="1" x14ac:dyDescent="0.3">
      <c r="B33" s="119"/>
      <c r="C33" s="35" t="str">
        <f>Questionnaire!E34</f>
        <v>Participation active des parties prenantes aux décisions importantes.</v>
      </c>
      <c r="D33" s="35">
        <f>Questionnaire!D34</f>
        <v>4</v>
      </c>
    </row>
    <row r="34" spans="2:4" ht="15" hidden="1" thickBot="1" x14ac:dyDescent="0.35">
      <c r="B34" s="120"/>
      <c r="C34" s="35" t="str">
        <f>Questionnaire!E35</f>
        <v>Parties prenantes impliquées systématiquement et proactivement.</v>
      </c>
      <c r="D34" s="35" t="str">
        <f>Questionnaire!D35</f>
        <v/>
      </c>
    </row>
    <row r="35" spans="2:4" ht="18" hidden="1" x14ac:dyDescent="0.35">
      <c r="B35" s="37"/>
      <c r="C35" s="33" t="str">
        <f>Questionnaire!E36</f>
        <v>Architecture Practice Process Method Capability</v>
      </c>
      <c r="D35" s="33">
        <f>Questionnaire!D36</f>
        <v>3</v>
      </c>
    </row>
    <row r="36" spans="2:4" ht="15" hidden="1" thickBot="1" x14ac:dyDescent="0.35">
      <c r="B36" s="37"/>
      <c r="C36" s="34" t="str">
        <f>Questionnaire!E37</f>
        <v>Standardiser les pratiques pour produire des résultats reproductibles et cohérents</v>
      </c>
      <c r="D36" s="34">
        <f>Questionnaire!D37</f>
        <v>0</v>
      </c>
    </row>
    <row r="37" spans="2:4" hidden="1" x14ac:dyDescent="0.3">
      <c r="B37" s="121" t="str">
        <f>VLOOKUP(C37,Recherche!$B$2:$E$226,4)</f>
        <v>2. Architecture Practice Process Method Capability</v>
      </c>
      <c r="C37" s="32" t="str">
        <f>Questionnaire!E38</f>
        <v>2Q1. Une méthodologie d’architecture (TOGAF, Zachman ou autre) est-elle adoptée et adaptée au contexte ?</v>
      </c>
      <c r="D37" s="32">
        <f>Questionnaire!D38</f>
        <v>2</v>
      </c>
    </row>
    <row r="38" spans="2:4" hidden="1" x14ac:dyDescent="0.3">
      <c r="B38" s="119"/>
      <c r="C38" s="35" t="str">
        <f>Questionnaire!E39</f>
        <v>Aucune méthodologie formelle d’architecture n’a été identifiée ou utilisée.</v>
      </c>
      <c r="D38" s="35" t="str">
        <f>Questionnaire!D39</f>
        <v/>
      </c>
    </row>
    <row r="39" spans="2:4" hidden="1" x14ac:dyDescent="0.3">
      <c r="B39" s="119"/>
      <c r="C39" s="35" t="str">
        <f>Questionnaire!E40</f>
        <v>Une méthodologie est envisagée mais pas encore formalisée ; quelques architectes l’appliquent ponctuellement.</v>
      </c>
      <c r="D39" s="35">
        <f>Questionnaire!D40</f>
        <v>2</v>
      </c>
    </row>
    <row r="40" spans="2:4" hidden="1" x14ac:dyDescent="0.3">
      <c r="B40" s="119"/>
      <c r="C40" s="35" t="str">
        <f>Questionnaire!E41</f>
        <v>Une méthodologie est définie mais son application varie d’un projet à l’autre, sans standardisation.</v>
      </c>
      <c r="D40" s="35" t="str">
        <f>Questionnaire!D41</f>
        <v/>
      </c>
    </row>
    <row r="41" spans="2:4" hidden="1" x14ac:dyDescent="0.3">
      <c r="B41" s="119"/>
      <c r="C41" s="35" t="str">
        <f>Questionnaire!E42</f>
        <v>Une méthodologie est adoptée, adaptée au contexte, et utilisée régulièrement sur la plupart des projets.</v>
      </c>
      <c r="D41" s="35" t="str">
        <f>Questionnaire!D42</f>
        <v/>
      </c>
    </row>
    <row r="42" spans="2:4" hidden="1" x14ac:dyDescent="0.3">
      <c r="B42" s="119"/>
      <c r="C42" s="35" t="str">
        <f>Questionnaire!E43</f>
        <v>La méthodologie est totalement intégrée, adaptée en continu, et soutenue par des formations et des guides pratiques.</v>
      </c>
      <c r="D42" s="35" t="str">
        <f>Questionnaire!D43</f>
        <v/>
      </c>
    </row>
    <row r="43" spans="2:4" hidden="1" x14ac:dyDescent="0.3">
      <c r="B43" s="119"/>
      <c r="C43" s="32" t="str">
        <f>Questionnaire!E44</f>
        <v>2Q2. Les étapes et les livrables du processus d’architecture sont-ils clairement définis ?</v>
      </c>
      <c r="D43" s="32">
        <f>Questionnaire!D44</f>
        <v>3</v>
      </c>
    </row>
    <row r="44" spans="2:4" hidden="1" x14ac:dyDescent="0.3">
      <c r="B44" s="119"/>
      <c r="C44" s="35" t="str">
        <f>Questionnaire!E45</f>
        <v>Aucun processus ni livrable défini. Chaque architecte fait selon ses habitudes.</v>
      </c>
      <c r="D44" s="35" t="str">
        <f>Questionnaire!D45</f>
        <v/>
      </c>
    </row>
    <row r="45" spans="2:4" hidden="1" x14ac:dyDescent="0.3">
      <c r="B45" s="119"/>
      <c r="C45" s="35" t="str">
        <f>Questionnaire!E46</f>
        <v>Quelques livrables sont définis mais pas alignés avec un processus structuré.</v>
      </c>
      <c r="D45" s="35" t="str">
        <f>Questionnaire!D46</f>
        <v/>
      </c>
    </row>
    <row r="46" spans="2:4" hidden="1" x14ac:dyDescent="0.3">
      <c r="B46" s="119"/>
      <c r="C46" s="35" t="str">
        <f>Questionnaire!E47</f>
        <v>Les étapes et les livrables sont définis mais pas systématiquement appliqués.</v>
      </c>
      <c r="D46" s="35">
        <f>Questionnaire!D47</f>
        <v>3</v>
      </c>
    </row>
    <row r="47" spans="2:4" hidden="1" x14ac:dyDescent="0.3">
      <c r="B47" s="119"/>
      <c r="C47" s="35" t="str">
        <f>Questionnaire!E48</f>
        <v>Les étapes et les livrables sont définis, normalisés et connus des équipes.</v>
      </c>
      <c r="D47" s="35" t="str">
        <f>Questionnaire!D48</f>
        <v/>
      </c>
    </row>
    <row r="48" spans="2:4" hidden="1" x14ac:dyDescent="0.3">
      <c r="B48" s="119"/>
      <c r="C48" s="35" t="str">
        <f>Questionnaire!E49</f>
        <v>Les étapes et les livrables sont standardisés, adaptés selon le contexte projet et audités régulièrement.</v>
      </c>
      <c r="D48" s="35" t="str">
        <f>Questionnaire!D49</f>
        <v/>
      </c>
    </row>
    <row r="49" spans="2:4" hidden="1" x14ac:dyDescent="0.3">
      <c r="B49" s="119"/>
      <c r="C49" s="32" t="str">
        <f>Questionnaire!E50</f>
        <v>2Q3. Les architectes appliquent-ils systématiquement la méthodologie définie ?</v>
      </c>
      <c r="D49" s="32">
        <f>Questionnaire!D50</f>
        <v>4</v>
      </c>
    </row>
    <row r="50" spans="2:4" hidden="1" x14ac:dyDescent="0.3">
      <c r="B50" s="119"/>
      <c r="C50" s="35" t="str">
        <f>Questionnaire!E51</f>
        <v>La méthodologie est rarement ou jamais appliquée.</v>
      </c>
      <c r="D50" s="35" t="str">
        <f>Questionnaire!D51</f>
        <v/>
      </c>
    </row>
    <row r="51" spans="2:4" hidden="1" x14ac:dyDescent="0.3">
      <c r="B51" s="119"/>
      <c r="C51" s="35" t="str">
        <f>Questionnaire!E52</f>
        <v>Application occasionnelle selon les projets ou les préférences individuelles.</v>
      </c>
      <c r="D51" s="35" t="str">
        <f>Questionnaire!D52</f>
        <v/>
      </c>
    </row>
    <row r="52" spans="2:4" hidden="1" x14ac:dyDescent="0.3">
      <c r="B52" s="119"/>
      <c r="C52" s="35" t="str">
        <f>Questionnaire!E53</f>
        <v>Application partielle, sans réelle homogénéité entre les projets.</v>
      </c>
      <c r="D52" s="35" t="str">
        <f>Questionnaire!D53</f>
        <v/>
      </c>
    </row>
    <row r="53" spans="2:4" hidden="1" x14ac:dyDescent="0.3">
      <c r="B53" s="119"/>
      <c r="C53" s="35" t="str">
        <f>Questionnaire!E54</f>
        <v>Méthodologie appliquée de façon cohérente par la plupart des architectes.</v>
      </c>
      <c r="D53" s="35">
        <f>Questionnaire!D54</f>
        <v>4</v>
      </c>
    </row>
    <row r="54" spans="2:4" hidden="1" x14ac:dyDescent="0.3">
      <c r="B54" s="119"/>
      <c r="C54" s="35" t="str">
        <f>Questionnaire!E55</f>
        <v>Méthodologie appliquée systématiquement, avec contrôle qualité et amélioration continue.</v>
      </c>
      <c r="D54" s="35" t="str">
        <f>Questionnaire!D55</f>
        <v/>
      </c>
    </row>
    <row r="55" spans="2:4" hidden="1" x14ac:dyDescent="0.3">
      <c r="B55" s="119"/>
      <c r="C55" s="32" t="str">
        <f>Questionnaire!E56</f>
        <v>2Q4. Les parties prenantes connaissent-elles et comprennent-elles le processus d’architecture ?</v>
      </c>
      <c r="D55" s="32">
        <f>Questionnaire!D56</f>
        <v>4</v>
      </c>
    </row>
    <row r="56" spans="2:4" hidden="1" x14ac:dyDescent="0.3">
      <c r="B56" s="119"/>
      <c r="C56" s="35" t="str">
        <f>Questionnaire!E57</f>
        <v>Les parties prenantes ne sont pas informées de l’existence d’un processus d’architecture.</v>
      </c>
      <c r="D56" s="35" t="str">
        <f>Questionnaire!D57</f>
        <v/>
      </c>
    </row>
    <row r="57" spans="2:4" hidden="1" x14ac:dyDescent="0.3">
      <c r="B57" s="119"/>
      <c r="C57" s="35" t="str">
        <f>Questionnaire!E58</f>
        <v>Communication ponctuelle, limitée à quelques projets pilotes.</v>
      </c>
      <c r="D57" s="35" t="str">
        <f>Questionnaire!D58</f>
        <v/>
      </c>
    </row>
    <row r="58" spans="2:4" hidden="1" x14ac:dyDescent="0.3">
      <c r="B58" s="119"/>
      <c r="C58" s="35" t="str">
        <f>Questionnaire!E59</f>
        <v>Communication existante mais compréhension inégale parmi les parties prenantes.</v>
      </c>
      <c r="D58" s="35" t="str">
        <f>Questionnaire!D59</f>
        <v/>
      </c>
    </row>
    <row r="59" spans="2:4" hidden="1" x14ac:dyDescent="0.3">
      <c r="B59" s="119"/>
      <c r="C59" s="35" t="str">
        <f>Questionnaire!E60</f>
        <v>Parties prenantes informées et impliquées, comprennent les principales étapes du processus.</v>
      </c>
      <c r="D59" s="35">
        <f>Questionnaire!D60</f>
        <v>4</v>
      </c>
    </row>
    <row r="60" spans="2:4" hidden="1" x14ac:dyDescent="0.3">
      <c r="B60" s="119"/>
      <c r="C60" s="35" t="str">
        <f>Questionnaire!E61</f>
        <v>Parties prenantes engagées et collaboratives, capables de contribuer activement au processus.</v>
      </c>
      <c r="D60" s="35" t="str">
        <f>Questionnaire!D61</f>
        <v/>
      </c>
    </row>
    <row r="61" spans="2:4" hidden="1" x14ac:dyDescent="0.3">
      <c r="B61" s="119"/>
      <c r="C61" s="32" t="str">
        <f>Questionnaire!E62</f>
        <v>2Q5. Le processus d’architecture est-il revu et amélioré régulièrement ?</v>
      </c>
      <c r="D61" s="32">
        <f>Questionnaire!D62</f>
        <v>2</v>
      </c>
    </row>
    <row r="62" spans="2:4" hidden="1" x14ac:dyDescent="0.3">
      <c r="B62" s="119"/>
      <c r="C62" s="35" t="str">
        <f>Questionnaire!E63</f>
        <v>Aucun processus de revue ou d’amélioration n’est en place.</v>
      </c>
      <c r="D62" s="35" t="str">
        <f>Questionnaire!D63</f>
        <v/>
      </c>
    </row>
    <row r="63" spans="2:4" hidden="1" x14ac:dyDescent="0.3">
      <c r="B63" s="119"/>
      <c r="C63" s="35" t="str">
        <f>Questionnaire!E64</f>
        <v>Réflexion en cours pour améliorer le processus mais sans mise en œuvre concrète.</v>
      </c>
      <c r="D63" s="35">
        <f>Questionnaire!D64</f>
        <v>2</v>
      </c>
    </row>
    <row r="64" spans="2:4" hidden="1" x14ac:dyDescent="0.3">
      <c r="B64" s="119"/>
      <c r="C64" s="35" t="str">
        <f>Questionnaire!E65</f>
        <v>Amélioration ponctuelle du processus sur retour d’expérience, mais non systématique.</v>
      </c>
      <c r="D64" s="35" t="str">
        <f>Questionnaire!D65</f>
        <v/>
      </c>
    </row>
    <row r="65" spans="2:4" hidden="1" x14ac:dyDescent="0.3">
      <c r="B65" s="119"/>
      <c r="C65" s="35" t="str">
        <f>Questionnaire!E66</f>
        <v>Processus révisé périodiquement à partir des retours d’expérience.</v>
      </c>
      <c r="D65" s="35" t="str">
        <f>Questionnaire!D66</f>
        <v/>
      </c>
    </row>
    <row r="66" spans="2:4" ht="15" hidden="1" thickBot="1" x14ac:dyDescent="0.35">
      <c r="B66" s="120"/>
      <c r="C66" s="35" t="str">
        <f>Questionnaire!E67</f>
        <v>Processus d’architecture intégré à un cycle d’amélioration continue, avec indicateurs et mise à jour régulière.</v>
      </c>
      <c r="D66" s="35" t="str">
        <f>Questionnaire!D67</f>
        <v/>
      </c>
    </row>
    <row r="67" spans="2:4" ht="18" x14ac:dyDescent="0.35">
      <c r="B67" s="37"/>
      <c r="C67" s="33" t="str">
        <f>Questionnaire!E68</f>
        <v>Business &amp; IT Strategy Linkage Capability</v>
      </c>
      <c r="D67" s="108">
        <f>Questionnaire!D68</f>
        <v>1.8</v>
      </c>
    </row>
    <row r="68" spans="2:4" ht="15" hidden="1" thickBot="1" x14ac:dyDescent="0.35">
      <c r="B68" s="37"/>
      <c r="C68" s="34" t="str">
        <f>Questionnaire!E69</f>
        <v>S’assurer que l’architecture soutient réellement les besoins métiers</v>
      </c>
      <c r="D68" s="34">
        <f>Questionnaire!D69</f>
        <v>0</v>
      </c>
    </row>
    <row r="69" spans="2:4" hidden="1" x14ac:dyDescent="0.3">
      <c r="B69" s="121" t="str">
        <f>VLOOKUP(C69,Recherche!$B$2:$E$226,4)</f>
        <v>3. Business &amp; IT Strategy Linkage Capability</v>
      </c>
      <c r="C69" s="32" t="str">
        <f>Questionnaire!E70</f>
        <v>3Q1. L’architecture est-elle alignée avec la stratégie métier de l’organisation ?</v>
      </c>
      <c r="D69" s="32">
        <f>Questionnaire!D70</f>
        <v>2</v>
      </c>
    </row>
    <row r="70" spans="2:4" hidden="1" x14ac:dyDescent="0.3">
      <c r="B70" s="119"/>
      <c r="C70" s="35" t="str">
        <f>Questionnaire!E71</f>
        <v>Aucun alignement entre l’architecture et la stratégie métier.</v>
      </c>
      <c r="D70" s="35" t="str">
        <f>Questionnaire!D71</f>
        <v/>
      </c>
    </row>
    <row r="71" spans="2:4" hidden="1" x14ac:dyDescent="0.3">
      <c r="B71" s="119"/>
      <c r="C71" s="35" t="str">
        <f>Questionnaire!E72</f>
        <v>Alignement en réflexion mais pas encore formalisé.</v>
      </c>
      <c r="D71" s="35">
        <f>Questionnaire!D72</f>
        <v>2</v>
      </c>
    </row>
    <row r="72" spans="2:4" hidden="1" x14ac:dyDescent="0.3">
      <c r="B72" s="119"/>
      <c r="C72" s="35" t="str">
        <f>Questionnaire!E73</f>
        <v>Alignement partiel mais manque de cohérence.</v>
      </c>
      <c r="D72" s="35" t="str">
        <f>Questionnaire!D73</f>
        <v/>
      </c>
    </row>
    <row r="73" spans="2:4" hidden="1" x14ac:dyDescent="0.3">
      <c r="B73" s="119"/>
      <c r="C73" s="35" t="str">
        <f>Questionnaire!E74</f>
        <v>Alignement opérationnel avec la stratégie métier.</v>
      </c>
      <c r="D73" s="35" t="str">
        <f>Questionnaire!D74</f>
        <v/>
      </c>
    </row>
    <row r="74" spans="2:4" hidden="1" x14ac:dyDescent="0.3">
      <c r="B74" s="119"/>
      <c r="C74" s="35" t="str">
        <f>Questionnaire!E75</f>
        <v>Alignement stratégique parfaitement intégré aux processus d’architecture.</v>
      </c>
      <c r="D74" s="35" t="str">
        <f>Questionnaire!D75</f>
        <v/>
      </c>
    </row>
    <row r="75" spans="2:4" hidden="1" x14ac:dyDescent="0.3">
      <c r="B75" s="119"/>
      <c r="C75" s="32" t="str">
        <f>Questionnaire!E76</f>
        <v>3Q2. Les besoins métiers sont-ils systématiquement intégrés dans les décisions d’architecture ?</v>
      </c>
      <c r="D75" s="32">
        <f>Questionnaire!D76</f>
        <v>2</v>
      </c>
    </row>
    <row r="76" spans="2:4" hidden="1" x14ac:dyDescent="0.3">
      <c r="B76" s="119"/>
      <c r="C76" s="35" t="str">
        <f>Questionnaire!E77</f>
        <v>Les besoins métiers ne sont pas pris en compte.</v>
      </c>
      <c r="D76" s="35" t="str">
        <f>Questionnaire!D77</f>
        <v/>
      </c>
    </row>
    <row r="77" spans="2:4" hidden="1" x14ac:dyDescent="0.3">
      <c r="B77" s="119"/>
      <c r="C77" s="35" t="str">
        <f>Questionnaire!E78</f>
        <v>Intégration ponctuelle des besoins métiers.</v>
      </c>
      <c r="D77" s="35">
        <f>Questionnaire!D78</f>
        <v>2</v>
      </c>
    </row>
    <row r="78" spans="2:4" hidden="1" x14ac:dyDescent="0.3">
      <c r="B78" s="119"/>
      <c r="C78" s="35" t="str">
        <f>Questionnaire!E79</f>
        <v>Intégration variable selon les projets.</v>
      </c>
      <c r="D78" s="35" t="str">
        <f>Questionnaire!D79</f>
        <v/>
      </c>
    </row>
    <row r="79" spans="2:4" hidden="1" x14ac:dyDescent="0.3">
      <c r="B79" s="119"/>
      <c r="C79" s="35" t="str">
        <f>Questionnaire!E80</f>
        <v>Intégration régulière des besoins métiers dans les décisions.</v>
      </c>
      <c r="D79" s="35" t="str">
        <f>Questionnaire!D80</f>
        <v/>
      </c>
    </row>
    <row r="80" spans="2:4" hidden="1" x14ac:dyDescent="0.3">
      <c r="B80" s="119"/>
      <c r="C80" s="35" t="str">
        <f>Questionnaire!E81</f>
        <v>Intégration des besoins métiers systématique et priorisée.</v>
      </c>
      <c r="D80" s="35" t="str">
        <f>Questionnaire!D81</f>
        <v/>
      </c>
    </row>
    <row r="81" spans="2:4" hidden="1" x14ac:dyDescent="0.3">
      <c r="B81" s="119"/>
      <c r="C81" s="32" t="str">
        <f>Questionnaire!E82</f>
        <v>3Q3. Les projets stratégiques sont-ils priorisés en fonction de leur alignement avec l’architecture cible ?</v>
      </c>
      <c r="D81" s="32">
        <f>Questionnaire!D82</f>
        <v>2</v>
      </c>
    </row>
    <row r="82" spans="2:4" hidden="1" x14ac:dyDescent="0.3">
      <c r="B82" s="119"/>
      <c r="C82" s="35" t="str">
        <f>Questionnaire!E83</f>
        <v>Aucune priorisation stratégique des projets.</v>
      </c>
      <c r="D82" s="35" t="str">
        <f>Questionnaire!D83</f>
        <v/>
      </c>
    </row>
    <row r="83" spans="2:4" hidden="1" x14ac:dyDescent="0.3">
      <c r="B83" s="119"/>
      <c r="C83" s="35" t="str">
        <f>Questionnaire!E84</f>
        <v>Priorisation au cas par cas sans vision stratégique.</v>
      </c>
      <c r="D83" s="35">
        <f>Questionnaire!D84</f>
        <v>2</v>
      </c>
    </row>
    <row r="84" spans="2:4" hidden="1" x14ac:dyDescent="0.3">
      <c r="B84" s="119"/>
      <c r="C84" s="35" t="str">
        <f>Questionnaire!E85</f>
        <v>Priorisation existante mais non systématique.</v>
      </c>
      <c r="D84" s="35" t="str">
        <f>Questionnaire!D85</f>
        <v/>
      </c>
    </row>
    <row r="85" spans="2:4" hidden="1" x14ac:dyDescent="0.3">
      <c r="B85" s="119"/>
      <c r="C85" s="35" t="str">
        <f>Questionnaire!E86</f>
        <v>Priorisation stratégique des projets en place.</v>
      </c>
      <c r="D85" s="35" t="str">
        <f>Questionnaire!D86</f>
        <v/>
      </c>
    </row>
    <row r="86" spans="2:4" hidden="1" x14ac:dyDescent="0.3">
      <c r="B86" s="119"/>
      <c r="C86" s="35" t="str">
        <f>Questionnaire!E87</f>
        <v>Priorisation basée sur la valeur métier et la stratégie.</v>
      </c>
      <c r="D86" s="35" t="str">
        <f>Questionnaire!D87</f>
        <v/>
      </c>
    </row>
    <row r="87" spans="2:4" hidden="1" x14ac:dyDescent="0.3">
      <c r="B87" s="119"/>
      <c r="C87" s="32" t="str">
        <f>Questionnaire!E88</f>
        <v>3Q4. Les capacités métier sont-elles cartographiées et utilisées pour orienter les choix d’architecture ?</v>
      </c>
      <c r="D87" s="32">
        <f>Questionnaire!D88</f>
        <v>2</v>
      </c>
    </row>
    <row r="88" spans="2:4" hidden="1" x14ac:dyDescent="0.3">
      <c r="B88" s="119"/>
      <c r="C88" s="35" t="str">
        <f>Questionnaire!E89</f>
        <v>Aucune cartographie des capacités métier.</v>
      </c>
      <c r="D88" s="35" t="str">
        <f>Questionnaire!D89</f>
        <v/>
      </c>
    </row>
    <row r="89" spans="2:4" hidden="1" x14ac:dyDescent="0.3">
      <c r="B89" s="119"/>
      <c r="C89" s="35" t="str">
        <f>Questionnaire!E90</f>
        <v>Cartographie embryonnaire ou incomplète.</v>
      </c>
      <c r="D89" s="35">
        <f>Questionnaire!D90</f>
        <v>2</v>
      </c>
    </row>
    <row r="90" spans="2:4" hidden="1" x14ac:dyDescent="0.3">
      <c r="B90" s="119"/>
      <c r="C90" s="35" t="str">
        <f>Questionnaire!E91</f>
        <v>Cartographie des capacités métier partiellement exploitée.</v>
      </c>
      <c r="D90" s="35" t="str">
        <f>Questionnaire!D91</f>
        <v/>
      </c>
    </row>
    <row r="91" spans="2:4" hidden="1" x14ac:dyDescent="0.3">
      <c r="B91" s="119"/>
      <c r="C91" s="35" t="str">
        <f>Questionnaire!E92</f>
        <v>Cartographie des capacités métier utilisée pour orienter les choix.</v>
      </c>
      <c r="D91" s="35" t="str">
        <f>Questionnaire!D92</f>
        <v/>
      </c>
    </row>
    <row r="92" spans="2:4" hidden="1" x14ac:dyDescent="0.3">
      <c r="B92" s="119"/>
      <c r="C92" s="35" t="str">
        <f>Questionnaire!E93</f>
        <v>Cartographie des capacités métier utilisée comme référence stratégique.</v>
      </c>
      <c r="D92" s="35" t="str">
        <f>Questionnaire!D93</f>
        <v/>
      </c>
    </row>
    <row r="93" spans="2:4" x14ac:dyDescent="0.3">
      <c r="B93" s="119"/>
      <c r="C93" s="32" t="str">
        <f>Questionnaire!E94</f>
        <v>3Q5. Les parties prenantes métiers sont-elles impliquées dans la définition des priorités d’architecture ?</v>
      </c>
      <c r="D93" s="109">
        <f>Questionnaire!D94</f>
        <v>1</v>
      </c>
    </row>
    <row r="94" spans="2:4" ht="15" thickBot="1" x14ac:dyDescent="0.35">
      <c r="B94" s="119"/>
      <c r="C94" s="35" t="str">
        <f>Questionnaire!E95</f>
        <v>Les parties prenantes métiers sont absentes des discussions.</v>
      </c>
      <c r="D94" s="110">
        <f>Questionnaire!D95</f>
        <v>1</v>
      </c>
    </row>
    <row r="95" spans="2:4" ht="15" hidden="1" thickBot="1" x14ac:dyDescent="0.35">
      <c r="B95" s="119"/>
      <c r="C95" s="35" t="str">
        <f>Questionnaire!E96</f>
        <v>Les parties prenantes métiers sont consultées de manière ponctuelle.</v>
      </c>
      <c r="D95" s="35" t="str">
        <f>Questionnaire!D96</f>
        <v/>
      </c>
    </row>
    <row r="96" spans="2:4" ht="15" hidden="1" thickBot="1" x14ac:dyDescent="0.35">
      <c r="B96" s="119"/>
      <c r="C96" s="35" t="str">
        <f>Questionnaire!E97</f>
        <v>Les parties prenantes métiers participent mais sans rôle décisionnel.</v>
      </c>
      <c r="D96" s="35" t="str">
        <f>Questionnaire!D97</f>
        <v/>
      </c>
    </row>
    <row r="97" spans="2:4" ht="15" hidden="1" thickBot="1" x14ac:dyDescent="0.35">
      <c r="B97" s="119"/>
      <c r="C97" s="35" t="str">
        <f>Questionnaire!E98</f>
        <v>Les parties prenantes métiers sont impliquées et consultées régulièrement.</v>
      </c>
      <c r="D97" s="35" t="str">
        <f>Questionnaire!D98</f>
        <v/>
      </c>
    </row>
    <row r="98" spans="2:4" ht="15" hidden="1" thickBot="1" x14ac:dyDescent="0.35">
      <c r="B98" s="119"/>
      <c r="C98" s="40" t="str">
        <f>Questionnaire!E99</f>
        <v>Les parties prenantes métiers participent activement et influencent les décisions.</v>
      </c>
      <c r="D98" s="40" t="str">
        <f>Questionnaire!D99</f>
        <v/>
      </c>
    </row>
    <row r="99" spans="2:4" ht="18.600000000000001" hidden="1" thickBot="1" x14ac:dyDescent="0.4">
      <c r="B99" s="49"/>
      <c r="C99" s="50" t="str">
        <f>Questionnaire!E100</f>
        <v>Communication Capability</v>
      </c>
      <c r="D99" s="51">
        <f>Questionnaire!D100</f>
        <v>2.6</v>
      </c>
    </row>
    <row r="100" spans="2:4" ht="15" hidden="1" thickBot="1" x14ac:dyDescent="0.35">
      <c r="B100" s="37"/>
      <c r="C100" s="45" t="str">
        <f>Questionnaire!E101</f>
        <v>Favoriser l’adhésion et la compréhension de l’architecture</v>
      </c>
      <c r="D100" s="45">
        <f>Questionnaire!D101</f>
        <v>0</v>
      </c>
    </row>
    <row r="101" spans="2:4" ht="15" hidden="1" thickBot="1" x14ac:dyDescent="0.35">
      <c r="B101" s="121" t="str">
        <f>VLOOKUP(C101,Recherche!$B$2:$E$226,4)</f>
        <v>4. Communication Capability</v>
      </c>
      <c r="C101" s="32" t="str">
        <f>Questionnaire!E102</f>
        <v>4Q1. Les concepts d’architecture sont-ils vulgarisés pour les rendre accessibles aux parties prenantes ?</v>
      </c>
      <c r="D101" s="32">
        <f>Questionnaire!D102</f>
        <v>3</v>
      </c>
    </row>
    <row r="102" spans="2:4" ht="15" hidden="1" thickBot="1" x14ac:dyDescent="0.35">
      <c r="B102" s="119"/>
      <c r="C102" s="35" t="str">
        <f>Questionnaire!E103</f>
        <v>Aucune communication autour de l’architecture.</v>
      </c>
      <c r="D102" s="35" t="str">
        <f>Questionnaire!D103</f>
        <v/>
      </c>
    </row>
    <row r="103" spans="2:4" ht="15" hidden="1" thickBot="1" x14ac:dyDescent="0.35">
      <c r="B103" s="119"/>
      <c r="C103" s="35" t="str">
        <f>Questionnaire!E104</f>
        <v>Communication ponctuelle et limitée.</v>
      </c>
      <c r="D103" s="35" t="str">
        <f>Questionnaire!D104</f>
        <v/>
      </c>
    </row>
    <row r="104" spans="2:4" ht="15" hidden="1" thickBot="1" x14ac:dyDescent="0.35">
      <c r="B104" s="119"/>
      <c r="C104" s="35" t="str">
        <f>Questionnaire!E105</f>
        <v>Communication existante mais inégale.</v>
      </c>
      <c r="D104" s="35">
        <f>Questionnaire!D105</f>
        <v>3</v>
      </c>
    </row>
    <row r="105" spans="2:4" ht="15" hidden="1" thickBot="1" x14ac:dyDescent="0.35">
      <c r="B105" s="119"/>
      <c r="C105" s="35" t="str">
        <f>Questionnaire!E106</f>
        <v>Communication régulière et adaptée.</v>
      </c>
      <c r="D105" s="35" t="str">
        <f>Questionnaire!D106</f>
        <v/>
      </c>
    </row>
    <row r="106" spans="2:4" ht="15" hidden="1" thickBot="1" x14ac:dyDescent="0.35">
      <c r="B106" s="119"/>
      <c r="C106" s="40" t="str">
        <f>Questionnaire!E107</f>
        <v>Communication institutionnalisée, planifiée et proactive.</v>
      </c>
      <c r="D106" s="40" t="str">
        <f>Questionnaire!D107</f>
        <v/>
      </c>
    </row>
    <row r="107" spans="2:4" ht="15" hidden="1" thickBot="1" x14ac:dyDescent="0.35">
      <c r="B107" s="117"/>
      <c r="C107" s="70" t="str">
        <f>Questionnaire!E108</f>
        <v>4Q2. Les architectes sont-ils capables d’animer des ateliers et des réunions efficaces ?</v>
      </c>
      <c r="D107" s="71">
        <f>Questionnaire!D108</f>
        <v>3</v>
      </c>
    </row>
    <row r="108" spans="2:4" ht="15" hidden="1" thickBot="1" x14ac:dyDescent="0.35">
      <c r="B108" s="118"/>
      <c r="C108" s="72" t="str">
        <f>Questionnaire!E109</f>
        <v>Aucune animation d’atelier ni réunion efficace.</v>
      </c>
      <c r="D108" s="73" t="str">
        <f>Questionnaire!D109</f>
        <v/>
      </c>
    </row>
    <row r="109" spans="2:4" ht="15" hidden="1" thickBot="1" x14ac:dyDescent="0.35">
      <c r="B109" s="119"/>
      <c r="C109" s="44" t="str">
        <f>Questionnaire!E110</f>
        <v>Animation d’atelier occasionnelle et peu structurée.</v>
      </c>
      <c r="D109" s="44" t="str">
        <f>Questionnaire!D110</f>
        <v/>
      </c>
    </row>
    <row r="110" spans="2:4" ht="15" hidden="1" thickBot="1" x14ac:dyDescent="0.35">
      <c r="B110" s="119"/>
      <c r="C110" s="35" t="str">
        <f>Questionnaire!E111</f>
        <v>Animation d’ateliers variable selon les projets.</v>
      </c>
      <c r="D110" s="35">
        <f>Questionnaire!D111</f>
        <v>3</v>
      </c>
    </row>
    <row r="111" spans="2:4" ht="15" hidden="1" thickBot="1" x14ac:dyDescent="0.35">
      <c r="B111" s="119"/>
      <c r="C111" s="35" t="str">
        <f>Questionnaire!E112</f>
        <v>Animation d’ateliers efficace et interactive.</v>
      </c>
      <c r="D111" s="35" t="str">
        <f>Questionnaire!D112</f>
        <v/>
      </c>
    </row>
    <row r="112" spans="2:4" ht="15" hidden="1" thickBot="1" x14ac:dyDescent="0.35">
      <c r="B112" s="119"/>
      <c r="C112" s="40" t="str">
        <f>Questionnaire!E113</f>
        <v>Animation d’ateliers et réunions exemplaires.</v>
      </c>
      <c r="D112" s="40" t="str">
        <f>Questionnaire!D113</f>
        <v/>
      </c>
    </row>
    <row r="113" spans="2:4" ht="15" hidden="1" thickBot="1" x14ac:dyDescent="0.35">
      <c r="B113" s="117"/>
      <c r="C113" s="70" t="str">
        <f>Questionnaire!E114</f>
        <v>4Q3. Des supports de communication adaptés (présentations, synthèses, etc.) sont-ils produits régulièrement ?</v>
      </c>
      <c r="D113" s="71">
        <f>Questionnaire!D114</f>
        <v>2</v>
      </c>
    </row>
    <row r="114" spans="2:4" ht="15" hidden="1" thickBot="1" x14ac:dyDescent="0.35">
      <c r="B114" s="118"/>
      <c r="C114" s="72" t="str">
        <f>Questionnaire!E115</f>
        <v>Aucun support de communication adapté.</v>
      </c>
      <c r="D114" s="73" t="str">
        <f>Questionnaire!D115</f>
        <v/>
      </c>
    </row>
    <row r="115" spans="2:4" ht="15" hidden="1" thickBot="1" x14ac:dyDescent="0.35">
      <c r="B115" s="119"/>
      <c r="C115" s="44" t="str">
        <f>Questionnaire!E116</f>
        <v>Supports peu clairs ou inadaptés.</v>
      </c>
      <c r="D115" s="44">
        <f>Questionnaire!D116</f>
        <v>2</v>
      </c>
    </row>
    <row r="116" spans="2:4" ht="15" hidden="1" thickBot="1" x14ac:dyDescent="0.35">
      <c r="B116" s="119"/>
      <c r="C116" s="35" t="str">
        <f>Questionnaire!E117</f>
        <v>Supports améliorés mais pas systématiques.</v>
      </c>
      <c r="D116" s="35" t="str">
        <f>Questionnaire!D117</f>
        <v/>
      </c>
    </row>
    <row r="117" spans="2:4" ht="15" hidden="1" thickBot="1" x14ac:dyDescent="0.35">
      <c r="B117" s="119"/>
      <c r="C117" s="35" t="str">
        <f>Questionnaire!E118</f>
        <v>Supports clairs et pertinents pour les parties prenantes.</v>
      </c>
      <c r="D117" s="35" t="str">
        <f>Questionnaire!D118</f>
        <v/>
      </c>
    </row>
    <row r="118" spans="2:4" ht="15" hidden="1" thickBot="1" x14ac:dyDescent="0.35">
      <c r="B118" s="119"/>
      <c r="C118" s="35" t="str">
        <f>Questionnaire!E119</f>
        <v>Supports de communication de grande qualité et réutilisables.</v>
      </c>
      <c r="D118" s="35" t="str">
        <f>Questionnaire!D119</f>
        <v/>
      </c>
    </row>
    <row r="119" spans="2:4" ht="15" hidden="1" thickBot="1" x14ac:dyDescent="0.35">
      <c r="B119" s="119"/>
      <c r="C119" s="32" t="str">
        <f>Questionnaire!E120</f>
        <v>4Q4. Les parties prenantes comprennent-elles la valeur ajoutée de l’architecture ?</v>
      </c>
      <c r="D119" s="32">
        <f>Questionnaire!D120</f>
        <v>3</v>
      </c>
    </row>
    <row r="120" spans="2:4" ht="15" hidden="1" thickBot="1" x14ac:dyDescent="0.35">
      <c r="B120" s="119"/>
      <c r="C120" s="35" t="str">
        <f>Questionnaire!E121</f>
        <v>Les parties prenantes ne comprennent pas la valeur de l’architecture.</v>
      </c>
      <c r="D120" s="35" t="str">
        <f>Questionnaire!D121</f>
        <v/>
      </c>
    </row>
    <row r="121" spans="2:4" ht="15" hidden="1" thickBot="1" x14ac:dyDescent="0.35">
      <c r="B121" s="119"/>
      <c r="C121" s="35" t="str">
        <f>Questionnaire!E122</f>
        <v>Les parties prenantes comprennent partiellement la valeur.</v>
      </c>
      <c r="D121" s="35" t="str">
        <f>Questionnaire!D122</f>
        <v/>
      </c>
    </row>
    <row r="122" spans="2:4" ht="15" hidden="1" thickBot="1" x14ac:dyDescent="0.35">
      <c r="B122" s="119"/>
      <c r="C122" s="35" t="str">
        <f>Questionnaire!E123</f>
        <v>Compréhension partielle de la valeur ajoutée.</v>
      </c>
      <c r="D122" s="35">
        <f>Questionnaire!D123</f>
        <v>3</v>
      </c>
    </row>
    <row r="123" spans="2:4" ht="15" hidden="1" thickBot="1" x14ac:dyDescent="0.35">
      <c r="B123" s="119"/>
      <c r="C123" s="35" t="str">
        <f>Questionnaire!E124</f>
        <v>Bonne compréhension de la valeur de l’architecture.</v>
      </c>
      <c r="D123" s="35" t="str">
        <f>Questionnaire!D124</f>
        <v/>
      </c>
    </row>
    <row r="124" spans="2:4" ht="15" hidden="1" thickBot="1" x14ac:dyDescent="0.35">
      <c r="B124" s="119"/>
      <c r="C124" s="35" t="str">
        <f>Questionnaire!E125</f>
        <v>Les parties prenantes comprennent et défendent la valeur ajoutée.</v>
      </c>
      <c r="D124" s="35" t="str">
        <f>Questionnaire!D125</f>
        <v/>
      </c>
    </row>
    <row r="125" spans="2:4" ht="15" hidden="1" thickBot="1" x14ac:dyDescent="0.35">
      <c r="B125" s="119"/>
      <c r="C125" s="32" t="str">
        <f>Questionnaire!E126</f>
        <v>4Q5. La communication est-elle bidirectionnelle (écoute active et remontée des besoins) ?</v>
      </c>
      <c r="D125" s="32">
        <f>Questionnaire!D126</f>
        <v>2</v>
      </c>
    </row>
    <row r="126" spans="2:4" ht="15" hidden="1" thickBot="1" x14ac:dyDescent="0.35">
      <c r="B126" s="119"/>
      <c r="C126" s="35" t="str">
        <f>Questionnaire!E127</f>
        <v>Aucune écoute ni retour d’information.</v>
      </c>
      <c r="D126" s="35" t="str">
        <f>Questionnaire!D127</f>
        <v/>
      </c>
    </row>
    <row r="127" spans="2:4" ht="15" hidden="1" thickBot="1" x14ac:dyDescent="0.35">
      <c r="B127" s="119"/>
      <c r="C127" s="35" t="str">
        <f>Questionnaire!E128</f>
        <v>Communication unidirectionnelle descendante.</v>
      </c>
      <c r="D127" s="35">
        <f>Questionnaire!D128</f>
        <v>2</v>
      </c>
    </row>
    <row r="128" spans="2:4" ht="15" hidden="1" thickBot="1" x14ac:dyDescent="0.35">
      <c r="B128" s="119"/>
      <c r="C128" s="35" t="str">
        <f>Questionnaire!E129</f>
        <v>Communication en partie bidirectionnelle.</v>
      </c>
      <c r="D128" s="35" t="str">
        <f>Questionnaire!D129</f>
        <v/>
      </c>
    </row>
    <row r="129" spans="2:4" ht="15" hidden="1" thickBot="1" x14ac:dyDescent="0.35">
      <c r="B129" s="119"/>
      <c r="C129" s="35" t="str">
        <f>Questionnaire!E130</f>
        <v>Communication bidirectionnelle active.</v>
      </c>
      <c r="D129" s="35" t="str">
        <f>Questionnaire!D130</f>
        <v/>
      </c>
    </row>
    <row r="130" spans="2:4" ht="15" hidden="1" thickBot="1" x14ac:dyDescent="0.35">
      <c r="B130" s="120"/>
      <c r="C130" s="35" t="str">
        <f>Questionnaire!E131</f>
        <v>Communication bidirectionnelle et collaborative.</v>
      </c>
      <c r="D130" s="35" t="str">
        <f>Questionnaire!D131</f>
        <v/>
      </c>
    </row>
    <row r="131" spans="2:4" ht="18.600000000000001" hidden="1" thickBot="1" x14ac:dyDescent="0.4">
      <c r="B131" s="37"/>
      <c r="C131" s="33" t="str">
        <f>Questionnaire!E132</f>
        <v>Tools &amp; Repository Capability</v>
      </c>
      <c r="D131" s="33">
        <f>Questionnaire!D132</f>
        <v>3</v>
      </c>
    </row>
    <row r="132" spans="2:4" ht="15" hidden="1" thickBot="1" x14ac:dyDescent="0.35">
      <c r="B132" s="37"/>
      <c r="C132" s="34" t="str">
        <f>Questionnaire!E133</f>
        <v>Structurer et capitaliser les connaissances en architecture</v>
      </c>
      <c r="D132" s="34">
        <f>Questionnaire!D133</f>
        <v>0</v>
      </c>
    </row>
    <row r="133" spans="2:4" ht="15" hidden="1" thickBot="1" x14ac:dyDescent="0.35">
      <c r="B133" s="121" t="str">
        <f>VLOOKUP(C133,Recherche!$B$2:$E$226,4)</f>
        <v>5. Tools &amp; Repository Capability</v>
      </c>
      <c r="C133" s="32" t="str">
        <f>Questionnaire!E134</f>
        <v>5Q1. Disposez-vous d’un outil d’architecture partagé et accessible à tous les architectes ?</v>
      </c>
      <c r="D133" s="32">
        <f>Questionnaire!D134</f>
        <v>3</v>
      </c>
    </row>
    <row r="134" spans="2:4" ht="15" hidden="1" thickBot="1" x14ac:dyDescent="0.35">
      <c r="B134" s="119"/>
      <c r="C134" s="35" t="str">
        <f>Questionnaire!E135</f>
        <v>Aucun outil d’architecture n’est utilisé.</v>
      </c>
      <c r="D134" s="35" t="str">
        <f>Questionnaire!D135</f>
        <v/>
      </c>
    </row>
    <row r="135" spans="2:4" ht="15" hidden="1" thickBot="1" x14ac:dyDescent="0.35">
      <c r="B135" s="119"/>
      <c r="C135" s="35" t="str">
        <f>Questionnaire!E136</f>
        <v>Un outil est envisagé mais son utilisation est limitée.</v>
      </c>
      <c r="D135" s="35" t="str">
        <f>Questionnaire!D136</f>
        <v/>
      </c>
    </row>
    <row r="136" spans="2:4" ht="15" hidden="1" thickBot="1" x14ac:dyDescent="0.35">
      <c r="B136" s="119"/>
      <c r="C136" s="35" t="str">
        <f>Questionnaire!E137</f>
        <v>Outil disponible mais son usage n’est pas homogène.</v>
      </c>
      <c r="D136" s="35">
        <f>Questionnaire!D137</f>
        <v>3</v>
      </c>
    </row>
    <row r="137" spans="2:4" ht="15" hidden="1" thickBot="1" x14ac:dyDescent="0.35">
      <c r="B137" s="119"/>
      <c r="C137" s="35" t="str">
        <f>Questionnaire!E138</f>
        <v>Outil d’architecture partagé et bien utilisé.</v>
      </c>
      <c r="D137" s="35" t="str">
        <f>Questionnaire!D138</f>
        <v/>
      </c>
    </row>
    <row r="138" spans="2:4" ht="15" hidden="1" thickBot="1" x14ac:dyDescent="0.35">
      <c r="B138" s="119"/>
      <c r="C138" s="35" t="str">
        <f>Questionnaire!E139</f>
        <v>Outil d’architecture totalement intégré à l’écosystème numérique.</v>
      </c>
      <c r="D138" s="35" t="str">
        <f>Questionnaire!D139</f>
        <v/>
      </c>
    </row>
    <row r="139" spans="2:4" ht="15" hidden="1" thickBot="1" x14ac:dyDescent="0.35">
      <c r="B139" s="119"/>
      <c r="C139" s="32" t="str">
        <f>Questionnaire!E140</f>
        <v>5Q2. Les modèles d’architecture sont-ils centralisés et à jour dans un référentiel unique ?</v>
      </c>
      <c r="D139" s="32">
        <f>Questionnaire!D140</f>
        <v>4</v>
      </c>
    </row>
    <row r="140" spans="2:4" ht="15" hidden="1" thickBot="1" x14ac:dyDescent="0.35">
      <c r="B140" s="119"/>
      <c r="C140" s="35" t="str">
        <f>Questionnaire!E141</f>
        <v>Les modèles d’architecture sont dispersés et non centralisés.</v>
      </c>
      <c r="D140" s="35" t="str">
        <f>Questionnaire!D141</f>
        <v/>
      </c>
    </row>
    <row r="141" spans="2:4" ht="15" hidden="1" thickBot="1" x14ac:dyDescent="0.35">
      <c r="B141" s="119"/>
      <c r="C141" s="35" t="str">
        <f>Questionnaire!E142</f>
        <v>Les modèles sont regroupés partiellement, sans mise à jour.</v>
      </c>
      <c r="D141" s="35" t="str">
        <f>Questionnaire!D142</f>
        <v/>
      </c>
    </row>
    <row r="142" spans="2:4" ht="15" hidden="1" thickBot="1" x14ac:dyDescent="0.35">
      <c r="B142" s="119"/>
      <c r="C142" s="35" t="str">
        <f>Questionnaire!E143</f>
        <v>Modèles centralisés mais mis à jour de manière irrégulière.</v>
      </c>
      <c r="D142" s="35" t="str">
        <f>Questionnaire!D143</f>
        <v/>
      </c>
    </row>
    <row r="143" spans="2:4" ht="15" hidden="1" thickBot="1" x14ac:dyDescent="0.35">
      <c r="B143" s="119"/>
      <c r="C143" s="35" t="str">
        <f>Questionnaire!E144</f>
        <v>Modèles centralisés, à jour et accessibles.</v>
      </c>
      <c r="D143" s="35">
        <f>Questionnaire!D144</f>
        <v>4</v>
      </c>
    </row>
    <row r="144" spans="2:4" ht="15" hidden="1" thickBot="1" x14ac:dyDescent="0.35">
      <c r="B144" s="119"/>
      <c r="C144" s="35" t="str">
        <f>Questionnaire!E145</f>
        <v>Modèles complets, mis à jour en temps réel et exploités activement.</v>
      </c>
      <c r="D144" s="35" t="str">
        <f>Questionnaire!D145</f>
        <v/>
      </c>
    </row>
    <row r="145" spans="2:4" ht="15" hidden="1" thickBot="1" x14ac:dyDescent="0.35">
      <c r="B145" s="119"/>
      <c r="C145" s="32" t="str">
        <f>Questionnaire!E146</f>
        <v>5Q3. L’outil d’architecture est-il utilisé de manière cohérente et normalisée ?</v>
      </c>
      <c r="D145" s="32">
        <f>Questionnaire!D146</f>
        <v>3</v>
      </c>
    </row>
    <row r="146" spans="2:4" ht="15" hidden="1" thickBot="1" x14ac:dyDescent="0.35">
      <c r="B146" s="119"/>
      <c r="C146" s="35" t="str">
        <f>Questionnaire!E147</f>
        <v>L’outil n’est pas utilisé ou est obsolète.</v>
      </c>
      <c r="D146" s="35" t="str">
        <f>Questionnaire!D147</f>
        <v/>
      </c>
    </row>
    <row r="147" spans="2:4" ht="15" hidden="1" thickBot="1" x14ac:dyDescent="0.35">
      <c r="B147" s="119"/>
      <c r="C147" s="35" t="str">
        <f>Questionnaire!E148</f>
        <v>Utilisation sporadique de l’outil d’architecture.</v>
      </c>
      <c r="D147" s="35" t="str">
        <f>Questionnaire!D148</f>
        <v/>
      </c>
    </row>
    <row r="148" spans="2:4" ht="15" hidden="1" thickBot="1" x14ac:dyDescent="0.35">
      <c r="B148" s="119"/>
      <c r="C148" s="35" t="str">
        <f>Questionnaire!E149</f>
        <v>Utilisation variable selon les projets et les équipes.</v>
      </c>
      <c r="D148" s="35">
        <f>Questionnaire!D149</f>
        <v>3</v>
      </c>
    </row>
    <row r="149" spans="2:4" ht="15" hidden="1" thickBot="1" x14ac:dyDescent="0.35">
      <c r="B149" s="119"/>
      <c r="C149" s="35" t="str">
        <f>Questionnaire!E150</f>
        <v>Utilisation homogène et standardisée.</v>
      </c>
      <c r="D149" s="35" t="str">
        <f>Questionnaire!D150</f>
        <v/>
      </c>
    </row>
    <row r="150" spans="2:4" ht="15" hidden="1" thickBot="1" x14ac:dyDescent="0.35">
      <c r="B150" s="119"/>
      <c r="C150" s="35" t="str">
        <f>Questionnaire!E151</f>
        <v>Utilisation systématique et institutionnalisée.</v>
      </c>
      <c r="D150" s="35" t="str">
        <f>Questionnaire!D151</f>
        <v/>
      </c>
    </row>
    <row r="151" spans="2:4" ht="15" hidden="1" thickBot="1" x14ac:dyDescent="0.35">
      <c r="B151" s="119"/>
      <c r="C151" s="32" t="str">
        <f>Questionnaire!E152</f>
        <v>5Q4. Les parties prenantes ont-elles accès aux informations pertinentes via l’outil ?</v>
      </c>
      <c r="D151" s="32">
        <f>Questionnaire!D152</f>
        <v>3</v>
      </c>
    </row>
    <row r="152" spans="2:4" ht="15" hidden="1" thickBot="1" x14ac:dyDescent="0.35">
      <c r="B152" s="119"/>
      <c r="C152" s="35" t="str">
        <f>Questionnaire!E153</f>
        <v>Aucun accès ou visibilité pour les parties prenantes.</v>
      </c>
      <c r="D152" s="35" t="str">
        <f>Questionnaire!D153</f>
        <v/>
      </c>
    </row>
    <row r="153" spans="2:4" ht="15" hidden="1" thickBot="1" x14ac:dyDescent="0.35">
      <c r="B153" s="119"/>
      <c r="C153" s="35" t="str">
        <f>Questionnaire!E154</f>
        <v>Accès limité pour certaines parties prenantes.</v>
      </c>
      <c r="D153" s="35" t="str">
        <f>Questionnaire!D154</f>
        <v/>
      </c>
    </row>
    <row r="154" spans="2:4" ht="15" hidden="1" thickBot="1" x14ac:dyDescent="0.35">
      <c r="B154" s="119"/>
      <c r="C154" s="35" t="str">
        <f>Questionnaire!E155</f>
        <v>Accès partiel pour les parties prenantes, usage inégal.</v>
      </c>
      <c r="D154" s="35">
        <f>Questionnaire!D155</f>
        <v>3</v>
      </c>
    </row>
    <row r="155" spans="2:4" ht="15" hidden="1" thickBot="1" x14ac:dyDescent="0.35">
      <c r="B155" s="119"/>
      <c r="C155" s="35" t="str">
        <f>Questionnaire!E156</f>
        <v>Accès facile pour les parties prenantes pertinentes.</v>
      </c>
      <c r="D155" s="35" t="str">
        <f>Questionnaire!D156</f>
        <v/>
      </c>
    </row>
    <row r="156" spans="2:4" ht="15" hidden="1" thickBot="1" x14ac:dyDescent="0.35">
      <c r="B156" s="119"/>
      <c r="C156" s="35" t="str">
        <f>Questionnaire!E157</f>
        <v>Accès personnalisé et collaboratif pour les parties prenantes.</v>
      </c>
      <c r="D156" s="35" t="str">
        <f>Questionnaire!D157</f>
        <v/>
      </c>
    </row>
    <row r="157" spans="2:4" ht="15" hidden="1" thickBot="1" x14ac:dyDescent="0.35">
      <c r="B157" s="119"/>
      <c r="C157" s="32" t="str">
        <f>Questionnaire!E158</f>
        <v>5Q5. L’outil d’architecture est-il intégré aux autres outils de l’entreprise (PMO, CMDB, etc.) ?</v>
      </c>
      <c r="D157" s="32">
        <f>Questionnaire!D158</f>
        <v>2</v>
      </c>
    </row>
    <row r="158" spans="2:4" ht="15" hidden="1" thickBot="1" x14ac:dyDescent="0.35">
      <c r="B158" s="119"/>
      <c r="C158" s="35" t="str">
        <f>Questionnaire!E159</f>
        <v>Aucun lien avec les autres outils de l’entreprise.</v>
      </c>
      <c r="D158" s="35" t="str">
        <f>Questionnaire!D159</f>
        <v/>
      </c>
    </row>
    <row r="159" spans="2:4" ht="15" hidden="1" thickBot="1" x14ac:dyDescent="0.35">
      <c r="B159" s="119"/>
      <c r="C159" s="35" t="str">
        <f>Questionnaire!E160</f>
        <v>Début de réflexion sur les intégrations possibles.</v>
      </c>
      <c r="D159" s="35">
        <f>Questionnaire!D160</f>
        <v>2</v>
      </c>
    </row>
    <row r="160" spans="2:4" ht="15" hidden="1" thickBot="1" x14ac:dyDescent="0.35">
      <c r="B160" s="119"/>
      <c r="C160" s="35" t="str">
        <f>Questionnaire!E161</f>
        <v>Intégrations partielles ou manuelles avec d’autres outils.</v>
      </c>
      <c r="D160" s="35" t="str">
        <f>Questionnaire!D161</f>
        <v/>
      </c>
    </row>
    <row r="161" spans="2:4" ht="15" hidden="1" thickBot="1" x14ac:dyDescent="0.35">
      <c r="B161" s="119"/>
      <c r="C161" s="35" t="str">
        <f>Questionnaire!E162</f>
        <v>Outil intégré aux principaux outils (PMO, CMDB, etc.).</v>
      </c>
      <c r="D161" s="35" t="str">
        <f>Questionnaire!D162</f>
        <v/>
      </c>
    </row>
    <row r="162" spans="2:4" ht="15" hidden="1" thickBot="1" x14ac:dyDescent="0.35">
      <c r="B162" s="119"/>
      <c r="C162" s="40" t="str">
        <f>Questionnaire!E163</f>
        <v>Intégration fluide et automatisée avec l’ensemble des outils.</v>
      </c>
      <c r="D162" s="40" t="str">
        <f>Questionnaire!D163</f>
        <v/>
      </c>
    </row>
    <row r="163" spans="2:4" ht="18.600000000000001" thickBot="1" x14ac:dyDescent="0.4">
      <c r="B163" s="49"/>
      <c r="C163" s="50" t="str">
        <f>Questionnaire!E164</f>
        <v>People and Team Capability</v>
      </c>
      <c r="D163" s="111">
        <f>Questionnaire!D164</f>
        <v>1.4</v>
      </c>
    </row>
    <row r="164" spans="2:4" ht="15" hidden="1" thickBot="1" x14ac:dyDescent="0.35">
      <c r="B164" s="37"/>
      <c r="C164" s="43" t="str">
        <f>Questionnaire!E165</f>
        <v>Disposer des bonnes ressources pour porter l’architecture</v>
      </c>
      <c r="D164" s="43">
        <f>Questionnaire!D165</f>
        <v>0</v>
      </c>
    </row>
    <row r="165" spans="2:4" x14ac:dyDescent="0.3">
      <c r="B165" s="117" t="str">
        <f>VLOOKUP(C165,Recherche!$B$2:$E$226,4)</f>
        <v>6. People and Team Capability</v>
      </c>
      <c r="C165" s="70" t="str">
        <f>Questionnaire!E166</f>
        <v>6Q1. Disposez-vous d’une équipe d’architectes clairement identifiée et dotée de rôles définis ?</v>
      </c>
      <c r="D165" s="112">
        <f>Questionnaire!D166</f>
        <v>1</v>
      </c>
    </row>
    <row r="166" spans="2:4" ht="15" thickBot="1" x14ac:dyDescent="0.35">
      <c r="B166" s="118"/>
      <c r="C166" s="72" t="str">
        <f>Questionnaire!E167</f>
        <v>Pas d’équipe d’architectes identifiée ni de rôles définis.</v>
      </c>
      <c r="D166" s="113">
        <f>Questionnaire!D167</f>
        <v>1</v>
      </c>
    </row>
    <row r="167" spans="2:4" ht="15" hidden="1" thickBot="1" x14ac:dyDescent="0.35">
      <c r="B167" s="119"/>
      <c r="C167" s="44" t="str">
        <f>Questionnaire!E168</f>
        <v>Définition des rôles embryonnaire ou partielle.</v>
      </c>
      <c r="D167" s="44" t="str">
        <f>Questionnaire!D168</f>
        <v/>
      </c>
    </row>
    <row r="168" spans="2:4" ht="15" hidden="1" thickBot="1" x14ac:dyDescent="0.35">
      <c r="B168" s="119"/>
      <c r="C168" s="35" t="str">
        <f>Questionnaire!E169</f>
        <v>Rôles définis mais manque de clarté ou d’homogénéité.</v>
      </c>
      <c r="D168" s="35" t="str">
        <f>Questionnaire!D169</f>
        <v/>
      </c>
    </row>
    <row r="169" spans="2:4" ht="15" hidden="1" thickBot="1" x14ac:dyDescent="0.35">
      <c r="B169" s="119"/>
      <c r="C169" s="35" t="str">
        <f>Questionnaire!E170</f>
        <v>Rôles bien définis et connus de l’organisation.</v>
      </c>
      <c r="D169" s="35" t="str">
        <f>Questionnaire!D170</f>
        <v/>
      </c>
    </row>
    <row r="170" spans="2:4" ht="15" hidden="1" thickBot="1" x14ac:dyDescent="0.35">
      <c r="B170" s="119"/>
      <c r="C170" s="40" t="str">
        <f>Questionnaire!E171</f>
        <v>Rôles définis, connus et intégrés dans la gouvernance.</v>
      </c>
      <c r="D170" s="40" t="str">
        <f>Questionnaire!D171</f>
        <v/>
      </c>
    </row>
    <row r="171" spans="2:4" x14ac:dyDescent="0.3">
      <c r="B171" s="117"/>
      <c r="C171" s="70" t="str">
        <f>Questionnaire!E172</f>
        <v>6Q2. Les compétences de l’équipe sont-elles alignées avec les besoins de l’organisation ?</v>
      </c>
      <c r="D171" s="112">
        <f>Questionnaire!D172</f>
        <v>1</v>
      </c>
    </row>
    <row r="172" spans="2:4" ht="15" thickBot="1" x14ac:dyDescent="0.35">
      <c r="B172" s="118"/>
      <c r="C172" s="72" t="str">
        <f>Questionnaire!E173</f>
        <v>Compétences non alignées avec les besoins de l’organisation.</v>
      </c>
      <c r="D172" s="113">
        <f>Questionnaire!D173</f>
        <v>1</v>
      </c>
    </row>
    <row r="173" spans="2:4" ht="15" hidden="1" thickBot="1" x14ac:dyDescent="0.35">
      <c r="B173" s="119"/>
      <c r="C173" s="44" t="str">
        <f>Questionnaire!E174</f>
        <v>Compétences partiellement alignées, lacunes importantes.</v>
      </c>
      <c r="D173" s="44" t="str">
        <f>Questionnaire!D174</f>
        <v/>
      </c>
    </row>
    <row r="174" spans="2:4" ht="15" hidden="1" thickBot="1" x14ac:dyDescent="0.35">
      <c r="B174" s="119"/>
      <c r="C174" s="35" t="str">
        <f>Questionnaire!E175</f>
        <v>Compétences globalement alignées mais à renforcer.</v>
      </c>
      <c r="D174" s="35" t="str">
        <f>Questionnaire!D175</f>
        <v/>
      </c>
    </row>
    <row r="175" spans="2:4" ht="15" hidden="1" thickBot="1" x14ac:dyDescent="0.35">
      <c r="B175" s="119"/>
      <c r="C175" s="35" t="str">
        <f>Questionnaire!E176</f>
        <v>Compétences alignées et plan de formation adapté.</v>
      </c>
      <c r="D175" s="35" t="str">
        <f>Questionnaire!D176</f>
        <v/>
      </c>
    </row>
    <row r="176" spans="2:4" ht="15" hidden="1" thickBot="1" x14ac:dyDescent="0.35">
      <c r="B176" s="119"/>
      <c r="C176" s="40" t="str">
        <f>Questionnaire!E177</f>
        <v>Compétences stratégiques alignées et en constante évolution.</v>
      </c>
      <c r="D176" s="40" t="str">
        <f>Questionnaire!D177</f>
        <v/>
      </c>
    </row>
    <row r="177" spans="2:4" x14ac:dyDescent="0.3">
      <c r="B177" s="117"/>
      <c r="C177" s="70" t="str">
        <f>Questionnaire!E178</f>
        <v>6Q3. Un plan de formation et de développement des compétences est-il mis en place ?</v>
      </c>
      <c r="D177" s="112">
        <f>Questionnaire!D178</f>
        <v>1</v>
      </c>
    </row>
    <row r="178" spans="2:4" ht="15" thickBot="1" x14ac:dyDescent="0.35">
      <c r="B178" s="118"/>
      <c r="C178" s="72" t="str">
        <f>Questionnaire!E179</f>
        <v>Aucun plan de formation en place.</v>
      </c>
      <c r="D178" s="113">
        <f>Questionnaire!D179</f>
        <v>1</v>
      </c>
    </row>
    <row r="179" spans="2:4" ht="15" hidden="1" thickBot="1" x14ac:dyDescent="0.35">
      <c r="B179" s="119"/>
      <c r="C179" s="44" t="str">
        <f>Questionnaire!E180</f>
        <v>Formations ponctuelles mais non planifiées.</v>
      </c>
      <c r="D179" s="44" t="str">
        <f>Questionnaire!D180</f>
        <v/>
      </c>
    </row>
    <row r="180" spans="2:4" ht="15" hidden="1" thickBot="1" x14ac:dyDescent="0.35">
      <c r="B180" s="119"/>
      <c r="C180" s="35" t="str">
        <f>Questionnaire!E181</f>
        <v>Formations présentes mais insuffisantes pour tous.</v>
      </c>
      <c r="D180" s="35" t="str">
        <f>Questionnaire!D181</f>
        <v/>
      </c>
    </row>
    <row r="181" spans="2:4" ht="15" hidden="1" thickBot="1" x14ac:dyDescent="0.35">
      <c r="B181" s="119"/>
      <c r="C181" s="35" t="str">
        <f>Questionnaire!E182</f>
        <v>Formations régulières et développement des compétences.</v>
      </c>
      <c r="D181" s="35" t="str">
        <f>Questionnaire!D182</f>
        <v/>
      </c>
    </row>
    <row r="182" spans="2:4" ht="15" hidden="1" thickBot="1" x14ac:dyDescent="0.35">
      <c r="B182" s="119"/>
      <c r="C182" s="40" t="str">
        <f>Questionnaire!E183</f>
        <v>Plan de formation structuré et personnalisé.</v>
      </c>
      <c r="D182" s="40" t="str">
        <f>Questionnaire!D183</f>
        <v/>
      </c>
    </row>
    <row r="183" spans="2:4" x14ac:dyDescent="0.3">
      <c r="B183" s="117"/>
      <c r="C183" s="70" t="str">
        <f>Questionnaire!E184</f>
        <v>6Q4. Les architectes collaborent-ils efficacement entre eux et avec les autres équipes ?</v>
      </c>
      <c r="D183" s="112">
        <f>Questionnaire!D184</f>
        <v>1</v>
      </c>
    </row>
    <row r="184" spans="2:4" ht="15" thickBot="1" x14ac:dyDescent="0.35">
      <c r="B184" s="118"/>
      <c r="C184" s="72" t="str">
        <f>Questionnaire!E185</f>
        <v>Peu de collaboration entre architectes et autres équipes.</v>
      </c>
      <c r="D184" s="113">
        <f>Questionnaire!D185</f>
        <v>1</v>
      </c>
    </row>
    <row r="185" spans="2:4" ht="15" hidden="1" thickBot="1" x14ac:dyDescent="0.35">
      <c r="B185" s="119"/>
      <c r="C185" s="44" t="str">
        <f>Questionnaire!E186</f>
        <v>Collaboration limitée à quelques projets.</v>
      </c>
      <c r="D185" s="44" t="str">
        <f>Questionnaire!D186</f>
        <v/>
      </c>
    </row>
    <row r="186" spans="2:4" ht="15" hidden="1" thickBot="1" x14ac:dyDescent="0.35">
      <c r="B186" s="119"/>
      <c r="C186" s="35" t="str">
        <f>Questionnaire!E187</f>
        <v>Collaboration variable selon les projets.</v>
      </c>
      <c r="D186" s="35" t="str">
        <f>Questionnaire!D187</f>
        <v/>
      </c>
    </row>
    <row r="187" spans="2:4" ht="15" hidden="1" thickBot="1" x14ac:dyDescent="0.35">
      <c r="B187" s="119"/>
      <c r="C187" s="35" t="str">
        <f>Questionnaire!E188</f>
        <v>Collaboration efficace et régulière avec les autres équipes.</v>
      </c>
      <c r="D187" s="35" t="str">
        <f>Questionnaire!D188</f>
        <v/>
      </c>
    </row>
    <row r="188" spans="2:4" ht="15" hidden="1" thickBot="1" x14ac:dyDescent="0.35">
      <c r="B188" s="119"/>
      <c r="C188" s="40" t="str">
        <f>Questionnaire!E189</f>
        <v>Collaboration proactive et transversale.</v>
      </c>
      <c r="D188" s="40" t="str">
        <f>Questionnaire!D189</f>
        <v/>
      </c>
    </row>
    <row r="189" spans="2:4" ht="15" hidden="1" thickBot="1" x14ac:dyDescent="0.35">
      <c r="B189" s="117"/>
      <c r="C189" s="70" t="str">
        <f>Questionnaire!E190</f>
        <v>6Q5. Les architectes sont-ils reconnus et valorisés dans l’organisation ?</v>
      </c>
      <c r="D189" s="71">
        <f>Questionnaire!D190</f>
        <v>3</v>
      </c>
    </row>
    <row r="190" spans="2:4" ht="15" hidden="1" thickBot="1" x14ac:dyDescent="0.35">
      <c r="B190" s="118"/>
      <c r="C190" s="72" t="str">
        <f>Questionnaire!E191</f>
        <v>Aucune reconnaissance de la fonction architecture.</v>
      </c>
      <c r="D190" s="73" t="str">
        <f>Questionnaire!D191</f>
        <v/>
      </c>
    </row>
    <row r="191" spans="2:4" ht="15" hidden="1" thickBot="1" x14ac:dyDescent="0.35">
      <c r="B191" s="119"/>
      <c r="C191" s="44" t="str">
        <f>Questionnaire!E192</f>
        <v>Reconnaissance limitée ou ponctuelle de la fonction.</v>
      </c>
      <c r="D191" s="44" t="str">
        <f>Questionnaire!D192</f>
        <v/>
      </c>
    </row>
    <row r="192" spans="2:4" ht="15" hidden="1" thickBot="1" x14ac:dyDescent="0.35">
      <c r="B192" s="119"/>
      <c r="C192" s="35" t="str">
        <f>Questionnaire!E193</f>
        <v>Reconnaissance progressive mais pas institutionnalisée.</v>
      </c>
      <c r="D192" s="35">
        <f>Questionnaire!D193</f>
        <v>3</v>
      </c>
    </row>
    <row r="193" spans="2:4" ht="15" hidden="1" thickBot="1" x14ac:dyDescent="0.35">
      <c r="B193" s="119"/>
      <c r="C193" s="35" t="str">
        <f>Questionnaire!E194</f>
        <v>Reconnaissance de la fonction architecture par le management.</v>
      </c>
      <c r="D193" s="35" t="str">
        <f>Questionnaire!D194</f>
        <v/>
      </c>
    </row>
    <row r="194" spans="2:4" ht="15" hidden="1" thickBot="1" x14ac:dyDescent="0.35">
      <c r="B194" s="119"/>
      <c r="C194" s="40" t="str">
        <f>Questionnaire!E195</f>
        <v>Fonction architecture reconnue et valorisée par l’organisation.</v>
      </c>
      <c r="D194" s="40" t="str">
        <f>Questionnaire!D195</f>
        <v/>
      </c>
    </row>
    <row r="195" spans="2:4" ht="18.600000000000001" hidden="1" thickBot="1" x14ac:dyDescent="0.4">
      <c r="B195" s="49"/>
      <c r="C195" s="50" t="str">
        <f>Questionnaire!E196</f>
        <v>Architecture Content &amp; Deliverables Capability</v>
      </c>
      <c r="D195" s="51">
        <f>Questionnaire!D196</f>
        <v>4</v>
      </c>
    </row>
    <row r="196" spans="2:4" ht="15" hidden="1" thickBot="1" x14ac:dyDescent="0.35">
      <c r="B196" s="37"/>
      <c r="C196" s="43" t="str">
        <f>Questionnaire!E197</f>
        <v>Apporter de la valeur aux parties prenantes grâce à des livrables clairs et actionnables</v>
      </c>
      <c r="D196" s="43">
        <f>Questionnaire!D197</f>
        <v>0</v>
      </c>
    </row>
    <row r="197" spans="2:4" ht="15" hidden="1" thickBot="1" x14ac:dyDescent="0.35">
      <c r="B197" s="117" t="str">
        <f>VLOOKUP(C197,Recherche!$B$2:$E$226,4)</f>
        <v>7. Architecture Content &amp; Deliverables Capability</v>
      </c>
      <c r="C197" s="70" t="str">
        <f>Questionnaire!E198</f>
        <v>7Q1. Les livrables d’architecture (cartographies, modèles, roadmaps) sont-ils produits systématiquement ?</v>
      </c>
      <c r="D197" s="71">
        <f>Questionnaire!D198</f>
        <v>4</v>
      </c>
    </row>
    <row r="198" spans="2:4" ht="15" hidden="1" thickBot="1" x14ac:dyDescent="0.35">
      <c r="B198" s="118"/>
      <c r="C198" s="72" t="str">
        <f>Questionnaire!E199</f>
        <v>Aucun livrable d’architecture produit.</v>
      </c>
      <c r="D198" s="73" t="str">
        <f>Questionnaire!D199</f>
        <v/>
      </c>
    </row>
    <row r="199" spans="2:4" ht="15" hidden="1" thickBot="1" x14ac:dyDescent="0.35">
      <c r="B199" s="119"/>
      <c r="C199" s="44" t="str">
        <f>Questionnaire!E200</f>
        <v>Livrables ponctuels et limités à quelques projets.</v>
      </c>
      <c r="D199" s="44" t="str">
        <f>Questionnaire!D200</f>
        <v/>
      </c>
    </row>
    <row r="200" spans="2:4" ht="15" hidden="1" thickBot="1" x14ac:dyDescent="0.35">
      <c r="B200" s="119"/>
      <c r="C200" s="35" t="str">
        <f>Questionnaire!E201</f>
        <v>Livrables produits mais qualité et usage variables.</v>
      </c>
      <c r="D200" s="35" t="str">
        <f>Questionnaire!D201</f>
        <v/>
      </c>
    </row>
    <row r="201" spans="2:4" ht="15" hidden="1" thickBot="1" x14ac:dyDescent="0.35">
      <c r="B201" s="119"/>
      <c r="C201" s="35" t="str">
        <f>Questionnaire!E202</f>
        <v>Livrables produits systématiquement et réutilisables.</v>
      </c>
      <c r="D201" s="35">
        <f>Questionnaire!D202</f>
        <v>4</v>
      </c>
    </row>
    <row r="202" spans="2:4" ht="15" hidden="1" thickBot="1" x14ac:dyDescent="0.35">
      <c r="B202" s="119"/>
      <c r="C202" s="40" t="str">
        <f>Questionnaire!E203</f>
        <v>Livrables produits systématiquement, standardisés et automatisés.</v>
      </c>
      <c r="D202" s="40" t="str">
        <f>Questionnaire!D203</f>
        <v/>
      </c>
    </row>
    <row r="203" spans="2:4" ht="15" hidden="1" thickBot="1" x14ac:dyDescent="0.35">
      <c r="B203" s="117"/>
      <c r="C203" s="70" t="str">
        <f>Questionnaire!E204</f>
        <v>7Q2. Les livrables sont-ils compréhensibles et exploitables par les parties prenantes ?</v>
      </c>
      <c r="D203" s="71">
        <f>Questionnaire!D204</f>
        <v>4</v>
      </c>
    </row>
    <row r="204" spans="2:4" ht="15" hidden="1" thickBot="1" x14ac:dyDescent="0.35">
      <c r="B204" s="118"/>
      <c r="C204" s="72" t="str">
        <f>Questionnaire!E205</f>
        <v>Livrables inexistants ou inutilisables.</v>
      </c>
      <c r="D204" s="73" t="str">
        <f>Questionnaire!D205</f>
        <v/>
      </c>
    </row>
    <row r="205" spans="2:4" ht="15" hidden="1" thickBot="1" x14ac:dyDescent="0.35">
      <c r="B205" s="119"/>
      <c r="C205" s="44" t="str">
        <f>Questionnaire!E206</f>
        <v>Livrables peu clairs ou incomplets.</v>
      </c>
      <c r="D205" s="44" t="str">
        <f>Questionnaire!D206</f>
        <v/>
      </c>
    </row>
    <row r="206" spans="2:4" ht="15" hidden="1" thickBot="1" x14ac:dyDescent="0.35">
      <c r="B206" s="119"/>
      <c r="C206" s="35" t="str">
        <f>Questionnaire!E207</f>
        <v>Livrables compréhensibles mais perfectibles.</v>
      </c>
      <c r="D206" s="35" t="str">
        <f>Questionnaire!D207</f>
        <v/>
      </c>
    </row>
    <row r="207" spans="2:4" ht="15" hidden="1" thickBot="1" x14ac:dyDescent="0.35">
      <c r="B207" s="119"/>
      <c r="C207" s="35" t="str">
        <f>Questionnaire!E208</f>
        <v>Livrables clairs et adaptés aux besoins des parties prenantes.</v>
      </c>
      <c r="D207" s="35">
        <f>Questionnaire!D208</f>
        <v>4</v>
      </c>
    </row>
    <row r="208" spans="2:4" ht="15" hidden="1" thickBot="1" x14ac:dyDescent="0.35">
      <c r="B208" s="119"/>
      <c r="C208" s="40" t="str">
        <f>Questionnaire!E209</f>
        <v>Livrables exemplaires et adaptés à tous les usages.</v>
      </c>
      <c r="D208" s="40" t="str">
        <f>Questionnaire!D209</f>
        <v/>
      </c>
    </row>
    <row r="209" spans="2:4" ht="15" hidden="1" thickBot="1" x14ac:dyDescent="0.35">
      <c r="B209" s="117"/>
      <c r="C209" s="70" t="str">
        <f>Questionnaire!E210</f>
        <v>7Q3. Les livrables sont-ils tenus à jour et adaptés aux besoins des projets ?</v>
      </c>
      <c r="D209" s="71">
        <f>Questionnaire!D210</f>
        <v>4</v>
      </c>
    </row>
    <row r="210" spans="2:4" ht="15" hidden="1" thickBot="1" x14ac:dyDescent="0.35">
      <c r="B210" s="118"/>
      <c r="C210" s="72" t="str">
        <f>Questionnaire!E211</f>
        <v>Livrables obsolètes et non maintenus.</v>
      </c>
      <c r="D210" s="73" t="str">
        <f>Questionnaire!D211</f>
        <v/>
      </c>
    </row>
    <row r="211" spans="2:4" ht="15" hidden="1" thickBot="1" x14ac:dyDescent="0.35">
      <c r="B211" s="119"/>
      <c r="C211" s="44" t="str">
        <f>Questionnaire!E212</f>
        <v>Mises à jour irrégulières et manuelles.</v>
      </c>
      <c r="D211" s="44" t="str">
        <f>Questionnaire!D212</f>
        <v/>
      </c>
    </row>
    <row r="212" spans="2:4" ht="15" hidden="1" thickBot="1" x14ac:dyDescent="0.35">
      <c r="B212" s="119"/>
      <c r="C212" s="35" t="str">
        <f>Questionnaire!E213</f>
        <v>Mises à jour effectuées mais sans planification.</v>
      </c>
      <c r="D212" s="35" t="str">
        <f>Questionnaire!D213</f>
        <v/>
      </c>
    </row>
    <row r="213" spans="2:4" ht="15" hidden="1" thickBot="1" x14ac:dyDescent="0.35">
      <c r="B213" s="119"/>
      <c r="C213" s="35" t="str">
        <f>Questionnaire!E214</f>
        <v>Livrables mis à jour régulièrement.</v>
      </c>
      <c r="D213" s="35">
        <f>Questionnaire!D214</f>
        <v>4</v>
      </c>
    </row>
    <row r="214" spans="2:4" ht="15" hidden="1" thickBot="1" x14ac:dyDescent="0.35">
      <c r="B214" s="119"/>
      <c r="C214" s="40" t="str">
        <f>Questionnaire!E215</f>
        <v>Livrables mis à jour en temps réel.</v>
      </c>
      <c r="D214" s="40" t="str">
        <f>Questionnaire!D215</f>
        <v/>
      </c>
    </row>
    <row r="215" spans="2:4" ht="15" hidden="1" thickBot="1" x14ac:dyDescent="0.35">
      <c r="B215" s="117"/>
      <c r="C215" s="70" t="str">
        <f>Questionnaire!E216</f>
        <v>7Q4. Existe-t-il une bibliothèque ou un référentiel des livrables partagés ?</v>
      </c>
      <c r="D215" s="71">
        <f>Questionnaire!D216</f>
        <v>4</v>
      </c>
    </row>
    <row r="216" spans="2:4" ht="15" hidden="1" thickBot="1" x14ac:dyDescent="0.35">
      <c r="B216" s="118"/>
      <c r="C216" s="72" t="str">
        <f>Questionnaire!E217</f>
        <v>Aucun référentiel partagé.</v>
      </c>
      <c r="D216" s="73" t="str">
        <f>Questionnaire!D217</f>
        <v/>
      </c>
    </row>
    <row r="217" spans="2:4" ht="15" hidden="1" thickBot="1" x14ac:dyDescent="0.35">
      <c r="B217" s="119"/>
      <c r="C217" s="44" t="str">
        <f>Questionnaire!E218</f>
        <v>Référentiel partiel et non centralisé.</v>
      </c>
      <c r="D217" s="44" t="str">
        <f>Questionnaire!D218</f>
        <v/>
      </c>
    </row>
    <row r="218" spans="2:4" ht="15" hidden="1" thickBot="1" x14ac:dyDescent="0.35">
      <c r="B218" s="119"/>
      <c r="C218" s="35" t="str">
        <f>Questionnaire!E219</f>
        <v>Référentiel disponible mais peu utilisé.</v>
      </c>
      <c r="D218" s="35" t="str">
        <f>Questionnaire!D219</f>
        <v/>
      </c>
    </row>
    <row r="219" spans="2:4" ht="15" hidden="1" thickBot="1" x14ac:dyDescent="0.35">
      <c r="B219" s="119"/>
      <c r="C219" s="35" t="str">
        <f>Questionnaire!E220</f>
        <v>Référentiel partagé et exploité.</v>
      </c>
      <c r="D219" s="35">
        <f>Questionnaire!D220</f>
        <v>4</v>
      </c>
    </row>
    <row r="220" spans="2:4" ht="15" hidden="1" thickBot="1" x14ac:dyDescent="0.35">
      <c r="B220" s="119"/>
      <c r="C220" s="40" t="str">
        <f>Questionnaire!E221</f>
        <v>Référentiel collaboratif et totalement intégré.</v>
      </c>
      <c r="D220" s="40" t="str">
        <f>Questionnaire!D221</f>
        <v/>
      </c>
    </row>
    <row r="221" spans="2:4" ht="15" hidden="1" thickBot="1" x14ac:dyDescent="0.35">
      <c r="B221" s="117"/>
      <c r="C221" s="70" t="str">
        <f>Questionnaire!E222</f>
        <v>7Q5. Les livrables sont-ils intégrés dans les processus de gouvernance de l’entreprise ?</v>
      </c>
      <c r="D221" s="71">
        <f>Questionnaire!D222</f>
        <v>4</v>
      </c>
    </row>
    <row r="222" spans="2:4" ht="15" hidden="1" thickBot="1" x14ac:dyDescent="0.35">
      <c r="B222" s="118"/>
      <c r="C222" s="72" t="str">
        <f>Questionnaire!E223</f>
        <v>Livrables non intégrés aux processus.</v>
      </c>
      <c r="D222" s="73" t="str">
        <f>Questionnaire!D223</f>
        <v/>
      </c>
    </row>
    <row r="223" spans="2:4" ht="15" hidden="1" thickBot="1" x14ac:dyDescent="0.35">
      <c r="B223" s="119"/>
      <c r="C223" s="44" t="str">
        <f>Questionnaire!E224</f>
        <v>Intégration limitée dans certains projets pilotes.</v>
      </c>
      <c r="D223" s="44" t="str">
        <f>Questionnaire!D224</f>
        <v/>
      </c>
    </row>
    <row r="224" spans="2:4" ht="15" hidden="1" thickBot="1" x14ac:dyDescent="0.35">
      <c r="B224" s="119"/>
      <c r="C224" s="35" t="str">
        <f>Questionnaire!E225</f>
        <v>Intégration partielle aux processus.</v>
      </c>
      <c r="D224" s="35" t="str">
        <f>Questionnaire!D225</f>
        <v/>
      </c>
    </row>
    <row r="225" spans="2:4" ht="15" hidden="1" thickBot="1" x14ac:dyDescent="0.35">
      <c r="B225" s="119"/>
      <c r="C225" s="35" t="str">
        <f>Questionnaire!E226</f>
        <v>Livrables intégrés aux processus projets.</v>
      </c>
      <c r="D225" s="35">
        <f>Questionnaire!D226</f>
        <v>4</v>
      </c>
    </row>
    <row r="226" spans="2:4" ht="15" hidden="1" thickBot="1" x14ac:dyDescent="0.35">
      <c r="B226" s="120"/>
      <c r="C226" s="35" t="str">
        <f>Questionnaire!E227</f>
        <v>Livrables institutionnalisés dans tous les processus.</v>
      </c>
      <c r="D226" s="35" t="str">
        <f>Questionnaire!D227</f>
        <v/>
      </c>
    </row>
    <row r="227" spans="2:4" ht="18.600000000000001" hidden="1" thickBot="1" x14ac:dyDescent="0.4">
      <c r="B227" s="37"/>
      <c r="C227" s="33" t="str">
        <f>Questionnaire!E228</f>
        <v>Architecture Metrics Measurement Capability</v>
      </c>
      <c r="D227" s="33">
        <f>Questionnaire!D228</f>
        <v>2.2000000000000002</v>
      </c>
    </row>
    <row r="228" spans="2:4" ht="15" hidden="1" thickBot="1" x14ac:dyDescent="0.35">
      <c r="B228" s="37"/>
      <c r="C228" s="34" t="str">
        <f>Questionnaire!E229</f>
        <v>Piloter la performance de l’architecture et démontrer sa valeur</v>
      </c>
      <c r="D228" s="34">
        <f>Questionnaire!D229</f>
        <v>0</v>
      </c>
    </row>
    <row r="229" spans="2:4" ht="15" hidden="1" thickBot="1" x14ac:dyDescent="0.35">
      <c r="B229" s="121" t="str">
        <f>VLOOKUP(C229,Recherche!$B$2:$E$226,4)</f>
        <v>8. Architecture Metrics Measurement Capability</v>
      </c>
      <c r="C229" s="32" t="str">
        <f>Questionnaire!E230</f>
        <v>8Q1. Des indicateurs de performance pour l’architecture sont-ils définis et suivis ?</v>
      </c>
      <c r="D229" s="32">
        <f>Questionnaire!D230</f>
        <v>3</v>
      </c>
    </row>
    <row r="230" spans="2:4" ht="15" hidden="1" thickBot="1" x14ac:dyDescent="0.35">
      <c r="B230" s="119"/>
      <c r="C230" s="35" t="str">
        <f>Questionnaire!E231</f>
        <v>Aucun indicateur de performance défini.</v>
      </c>
      <c r="D230" s="35" t="str">
        <f>Questionnaire!D231</f>
        <v/>
      </c>
    </row>
    <row r="231" spans="2:4" ht="15" hidden="1" thickBot="1" x14ac:dyDescent="0.35">
      <c r="B231" s="119"/>
      <c r="C231" s="35" t="str">
        <f>Questionnaire!E232</f>
        <v>Indicateurs envisagés mais non déployés.</v>
      </c>
      <c r="D231" s="35" t="str">
        <f>Questionnaire!D232</f>
        <v/>
      </c>
    </row>
    <row r="232" spans="2:4" ht="15" hidden="1" thickBot="1" x14ac:dyDescent="0.35">
      <c r="B232" s="119"/>
      <c r="C232" s="35" t="str">
        <f>Questionnaire!E233</f>
        <v>Indicateurs définis mais usage limité.</v>
      </c>
      <c r="D232" s="35">
        <f>Questionnaire!D233</f>
        <v>3</v>
      </c>
    </row>
    <row r="233" spans="2:4" ht="15" hidden="1" thickBot="1" x14ac:dyDescent="0.35">
      <c r="B233" s="119"/>
      <c r="C233" s="35" t="str">
        <f>Questionnaire!E234</f>
        <v>Indicateurs définis et suivis régulièrement.</v>
      </c>
      <c r="D233" s="35" t="str">
        <f>Questionnaire!D234</f>
        <v/>
      </c>
    </row>
    <row r="234" spans="2:4" ht="15" hidden="1" thickBot="1" x14ac:dyDescent="0.35">
      <c r="B234" s="119"/>
      <c r="C234" s="35" t="str">
        <f>Questionnaire!E235</f>
        <v>Indicateurs intégrés dans la gouvernance stratégique.</v>
      </c>
      <c r="D234" s="35" t="str">
        <f>Questionnaire!D235</f>
        <v/>
      </c>
    </row>
    <row r="235" spans="2:4" ht="15" hidden="1" thickBot="1" x14ac:dyDescent="0.35">
      <c r="B235" s="119"/>
      <c r="C235" s="32" t="str">
        <f>Questionnaire!E236</f>
        <v>8Q2. Mesurez-vous la conformité aux principes et standards d’architecture ?</v>
      </c>
      <c r="D235" s="32">
        <f>Questionnaire!D236</f>
        <v>2</v>
      </c>
    </row>
    <row r="236" spans="2:4" ht="15" hidden="1" thickBot="1" x14ac:dyDescent="0.35">
      <c r="B236" s="119"/>
      <c r="C236" s="35" t="str">
        <f>Questionnaire!E237</f>
        <v>Aucune mesure de la conformité aux principes.</v>
      </c>
      <c r="D236" s="35" t="str">
        <f>Questionnaire!D237</f>
        <v/>
      </c>
    </row>
    <row r="237" spans="2:4" ht="15" hidden="1" thickBot="1" x14ac:dyDescent="0.35">
      <c r="B237" s="119"/>
      <c r="C237" s="35" t="str">
        <f>Questionnaire!E238</f>
        <v>Conformité mesurée de manière ponctuelle.</v>
      </c>
      <c r="D237" s="35">
        <f>Questionnaire!D238</f>
        <v>2</v>
      </c>
    </row>
    <row r="238" spans="2:4" ht="15" hidden="1" thickBot="1" x14ac:dyDescent="0.35">
      <c r="B238" s="119"/>
      <c r="C238" s="35" t="str">
        <f>Questionnaire!E239</f>
        <v>Conformité mesurée partiellement.</v>
      </c>
      <c r="D238" s="35" t="str">
        <f>Questionnaire!D239</f>
        <v/>
      </c>
    </row>
    <row r="239" spans="2:4" ht="15" hidden="1" thickBot="1" x14ac:dyDescent="0.35">
      <c r="B239" s="119"/>
      <c r="C239" s="35" t="str">
        <f>Questionnaire!E240</f>
        <v>Conformité contrôlée et pilotée.</v>
      </c>
      <c r="D239" s="35" t="str">
        <f>Questionnaire!D240</f>
        <v/>
      </c>
    </row>
    <row r="240" spans="2:4" ht="15" hidden="1" thickBot="1" x14ac:dyDescent="0.35">
      <c r="B240" s="119"/>
      <c r="C240" s="35" t="str">
        <f>Questionnaire!E241</f>
        <v>Conformité et impact mesurés en temps réel.</v>
      </c>
      <c r="D240" s="35" t="str">
        <f>Questionnaire!D241</f>
        <v/>
      </c>
    </row>
    <row r="241" spans="2:4" ht="15" hidden="1" thickBot="1" x14ac:dyDescent="0.35">
      <c r="B241" s="119"/>
      <c r="C241" s="32" t="str">
        <f>Questionnaire!E242</f>
        <v>8Q3. L’impact de l’architecture sur les projets est-il évalué régulièrement (valeur ajoutée, réutilisation, etc.) ?</v>
      </c>
      <c r="D241" s="32">
        <f>Questionnaire!D242</f>
        <v>2</v>
      </c>
    </row>
    <row r="242" spans="2:4" ht="15" hidden="1" thickBot="1" x14ac:dyDescent="0.35">
      <c r="B242" s="119"/>
      <c r="C242" s="35" t="str">
        <f>Questionnaire!E243</f>
        <v>Aucun suivi d’impact de l’architecture sur les projets.</v>
      </c>
      <c r="D242" s="35" t="str">
        <f>Questionnaire!D243</f>
        <v/>
      </c>
    </row>
    <row r="243" spans="2:4" ht="15" hidden="1" thickBot="1" x14ac:dyDescent="0.35">
      <c r="B243" s="119"/>
      <c r="C243" s="35" t="str">
        <f>Questionnaire!E244</f>
        <v>Impact évalué au cas par cas.</v>
      </c>
      <c r="D243" s="35">
        <f>Questionnaire!D244</f>
        <v>2</v>
      </c>
    </row>
    <row r="244" spans="2:4" ht="15" hidden="1" thickBot="1" x14ac:dyDescent="0.35">
      <c r="B244" s="119"/>
      <c r="C244" s="35" t="str">
        <f>Questionnaire!E245</f>
        <v>Impact évalué mais pas systématiquement.</v>
      </c>
      <c r="D244" s="35" t="str">
        <f>Questionnaire!D245</f>
        <v/>
      </c>
    </row>
    <row r="245" spans="2:4" ht="15" hidden="1" thickBot="1" x14ac:dyDescent="0.35">
      <c r="B245" s="119"/>
      <c r="C245" s="35" t="str">
        <f>Questionnaire!E246</f>
        <v>Impact évalué avec retour d’expérience.</v>
      </c>
      <c r="D245" s="35" t="str">
        <f>Questionnaire!D246</f>
        <v/>
      </c>
    </row>
    <row r="246" spans="2:4" ht="15" hidden="1" thickBot="1" x14ac:dyDescent="0.35">
      <c r="B246" s="119"/>
      <c r="C246" s="35" t="str">
        <f>Questionnaire!E247</f>
        <v>Impact de l’architecture quantifié et piloté.</v>
      </c>
      <c r="D246" s="35" t="str">
        <f>Questionnaire!D247</f>
        <v/>
      </c>
    </row>
    <row r="247" spans="2:4" ht="15" hidden="1" thickBot="1" x14ac:dyDescent="0.35">
      <c r="B247" s="119"/>
      <c r="C247" s="32" t="str">
        <f>Questionnaire!E248</f>
        <v>8Q4. Les résultats des indicateurs sont-ils partagés avec les parties prenantes ?</v>
      </c>
      <c r="D247" s="32">
        <f>Questionnaire!D248</f>
        <v>2</v>
      </c>
    </row>
    <row r="248" spans="2:4" ht="15" hidden="1" thickBot="1" x14ac:dyDescent="0.35">
      <c r="B248" s="119"/>
      <c r="C248" s="35" t="str">
        <f>Questionnaire!E249</f>
        <v>Aucun partage des résultats avec les parties prenantes.</v>
      </c>
      <c r="D248" s="35" t="str">
        <f>Questionnaire!D249</f>
        <v/>
      </c>
    </row>
    <row r="249" spans="2:4" ht="15" hidden="1" thickBot="1" x14ac:dyDescent="0.35">
      <c r="B249" s="119"/>
      <c r="C249" s="35" t="str">
        <f>Questionnaire!E250</f>
        <v>Résultats partagés de façon informelle.</v>
      </c>
      <c r="D249" s="35">
        <f>Questionnaire!D250</f>
        <v>2</v>
      </c>
    </row>
    <row r="250" spans="2:4" ht="15" hidden="1" thickBot="1" x14ac:dyDescent="0.35">
      <c r="B250" s="119"/>
      <c r="C250" s="35" t="str">
        <f>Questionnaire!E251</f>
        <v>Résultats partagés à certains acteurs seulement.</v>
      </c>
      <c r="D250" s="35" t="str">
        <f>Questionnaire!D251</f>
        <v/>
      </c>
    </row>
    <row r="251" spans="2:4" ht="15" hidden="1" thickBot="1" x14ac:dyDescent="0.35">
      <c r="B251" s="119"/>
      <c r="C251" s="35" t="str">
        <f>Questionnaire!E252</f>
        <v>Résultats partagés de façon transparente.</v>
      </c>
      <c r="D251" s="35" t="str">
        <f>Questionnaire!D252</f>
        <v/>
      </c>
    </row>
    <row r="252" spans="2:4" ht="15" hidden="1" thickBot="1" x14ac:dyDescent="0.35">
      <c r="B252" s="119"/>
      <c r="C252" s="35" t="str">
        <f>Questionnaire!E253</f>
        <v>Résultats partagés proactivement et valorisés.</v>
      </c>
      <c r="D252" s="35" t="str">
        <f>Questionnaire!D253</f>
        <v/>
      </c>
    </row>
    <row r="253" spans="2:4" ht="15" hidden="1" thickBot="1" x14ac:dyDescent="0.35">
      <c r="B253" s="119"/>
      <c r="C253" s="32" t="str">
        <f>Questionnaire!E254</f>
        <v>8Q5. Les métriques servent-elles à piloter l’amélioration continue des pratiques d’architecture ?</v>
      </c>
      <c r="D253" s="32">
        <f>Questionnaire!D254</f>
        <v>2</v>
      </c>
    </row>
    <row r="254" spans="2:4" ht="15" hidden="1" thickBot="1" x14ac:dyDescent="0.35">
      <c r="B254" s="119"/>
      <c r="C254" s="35" t="str">
        <f>Questionnaire!E255</f>
        <v>Aucune démarche d’amélioration continue basée sur des indicateurs.</v>
      </c>
      <c r="D254" s="35" t="str">
        <f>Questionnaire!D255</f>
        <v/>
      </c>
    </row>
    <row r="255" spans="2:4" ht="15" hidden="1" thickBot="1" x14ac:dyDescent="0.35">
      <c r="B255" s="119"/>
      <c r="C255" s="35" t="str">
        <f>Questionnaire!E256</f>
        <v>Démarche d’amélioration en réflexion seulement.</v>
      </c>
      <c r="D255" s="35">
        <f>Questionnaire!D256</f>
        <v>2</v>
      </c>
    </row>
    <row r="256" spans="2:4" ht="15" hidden="1" thickBot="1" x14ac:dyDescent="0.35">
      <c r="B256" s="119"/>
      <c r="C256" s="35" t="str">
        <f>Questionnaire!E257</f>
        <v>Amélioration ponctuelle des pratiques.</v>
      </c>
      <c r="D256" s="35" t="str">
        <f>Questionnaire!D257</f>
        <v/>
      </c>
    </row>
    <row r="257" spans="2:4" ht="15" hidden="1" thickBot="1" x14ac:dyDescent="0.35">
      <c r="B257" s="119"/>
      <c r="C257" s="35" t="str">
        <f>Questionnaire!E258</f>
        <v>Amélioration continue pilotée par les indicateurs.</v>
      </c>
      <c r="D257" s="35" t="str">
        <f>Questionnaire!D258</f>
        <v/>
      </c>
    </row>
    <row r="258" spans="2:4" ht="15" hidden="1" thickBot="1" x14ac:dyDescent="0.35">
      <c r="B258" s="120"/>
      <c r="C258" s="35" t="str">
        <f>Questionnaire!E259</f>
        <v>Amélioration continue institutionnalisée et mesurée.</v>
      </c>
      <c r="D258" s="35" t="str">
        <f>Questionnaire!D259</f>
        <v/>
      </c>
    </row>
    <row r="259" spans="2:4" ht="18.600000000000001" hidden="1" thickBot="1" x14ac:dyDescent="0.4">
      <c r="B259" s="37"/>
      <c r="C259" s="33" t="str">
        <f>Questionnaire!E260</f>
        <v>Organisational Capability</v>
      </c>
      <c r="D259" s="33">
        <f>Questionnaire!D260</f>
        <v>3.4</v>
      </c>
    </row>
    <row r="260" spans="2:4" ht="15" hidden="1" thickBot="1" x14ac:dyDescent="0.35">
      <c r="B260" s="37"/>
      <c r="C260" s="34" t="str">
        <f>Questionnaire!E261</f>
        <v>La capacité de l’organisation à soutenir et institutionnaliser l’architecture d’entreprise dans sa gouvernance globale</v>
      </c>
      <c r="D260" s="34">
        <f>Questionnaire!D261</f>
        <v>0</v>
      </c>
    </row>
    <row r="261" spans="2:4" ht="15" hidden="1" thickBot="1" x14ac:dyDescent="0.35">
      <c r="B261" s="121" t="str">
        <f>VLOOKUP(C261,Recherche!$B$2:$E$226,4)</f>
        <v>9. Organisational Capability</v>
      </c>
      <c r="C261" s="32" t="str">
        <f>Questionnaire!E262</f>
        <v>9Q1. L’architecture est-elle reconnue comme une fonction stratégique par la direction ?</v>
      </c>
      <c r="D261" s="32">
        <f>Questionnaire!D262</f>
        <v>3</v>
      </c>
    </row>
    <row r="262" spans="2:4" ht="15" hidden="1" thickBot="1" x14ac:dyDescent="0.35">
      <c r="B262" s="119"/>
      <c r="C262" s="35" t="str">
        <f>Questionnaire!E263</f>
        <v>L’architecture est perçue comme une fonction isolée et non stratégique.</v>
      </c>
      <c r="D262" s="35" t="str">
        <f>Questionnaire!D263</f>
        <v/>
      </c>
    </row>
    <row r="263" spans="2:4" ht="15" hidden="1" thickBot="1" x14ac:dyDescent="0.35">
      <c r="B263" s="119"/>
      <c r="C263" s="35" t="str">
        <f>Questionnaire!E264</f>
        <v>Architecture reconnue ponctuellement mais sans ancrage stratégique.</v>
      </c>
      <c r="D263" s="35" t="str">
        <f>Questionnaire!D264</f>
        <v/>
      </c>
    </row>
    <row r="264" spans="2:4" ht="15" hidden="1" thickBot="1" x14ac:dyDescent="0.35">
      <c r="B264" s="119"/>
      <c r="C264" s="35" t="str">
        <f>Questionnaire!E265</f>
        <v>Architecture reconnue mais pas encore stratégique.</v>
      </c>
      <c r="D264" s="35">
        <f>Questionnaire!D265</f>
        <v>3</v>
      </c>
    </row>
    <row r="265" spans="2:4" ht="15" hidden="1" thickBot="1" x14ac:dyDescent="0.35">
      <c r="B265" s="119"/>
      <c r="C265" s="35" t="str">
        <f>Questionnaire!E266</f>
        <v>Architecture reconnue comme fonction stratégique.</v>
      </c>
      <c r="D265" s="35" t="str">
        <f>Questionnaire!D266</f>
        <v/>
      </c>
    </row>
    <row r="266" spans="2:4" ht="15" hidden="1" thickBot="1" x14ac:dyDescent="0.35">
      <c r="B266" s="119"/>
      <c r="C266" s="35" t="str">
        <f>Questionnaire!E267</f>
        <v>Architecture institutionnalisée et stratégique dans l’organisation.</v>
      </c>
      <c r="D266" s="35" t="str">
        <f>Questionnaire!D267</f>
        <v/>
      </c>
    </row>
    <row r="267" spans="2:4" ht="15" hidden="1" thickBot="1" x14ac:dyDescent="0.35">
      <c r="B267" s="119"/>
      <c r="C267" s="32" t="str">
        <f>Questionnaire!E268</f>
        <v>9Q2. L’architecture est-elle intégrée dans les processus de gouvernance des projets (comités, décisions, etc.) ?</v>
      </c>
      <c r="D267" s="32">
        <f>Questionnaire!D268</f>
        <v>4</v>
      </c>
    </row>
    <row r="268" spans="2:4" ht="15" hidden="1" thickBot="1" x14ac:dyDescent="0.35">
      <c r="B268" s="119"/>
      <c r="C268" s="35" t="str">
        <f>Questionnaire!E269</f>
        <v>Aucune intégration dans les processus projets.</v>
      </c>
      <c r="D268" s="35" t="str">
        <f>Questionnaire!D269</f>
        <v/>
      </c>
    </row>
    <row r="269" spans="2:4" ht="15" hidden="1" thickBot="1" x14ac:dyDescent="0.35">
      <c r="B269" s="119"/>
      <c r="C269" s="35" t="str">
        <f>Questionnaire!E270</f>
        <v>Intégration partielle dans certains projets.</v>
      </c>
      <c r="D269" s="35" t="str">
        <f>Questionnaire!D270</f>
        <v/>
      </c>
    </row>
    <row r="270" spans="2:4" ht="15" hidden="1" thickBot="1" x14ac:dyDescent="0.35">
      <c r="B270" s="119"/>
      <c r="C270" s="35" t="str">
        <f>Questionnaire!E271</f>
        <v>Intégration dans certains processus projets mais pas tous.</v>
      </c>
      <c r="D270" s="35" t="str">
        <f>Questionnaire!D271</f>
        <v/>
      </c>
    </row>
    <row r="271" spans="2:4" ht="15" hidden="1" thickBot="1" x14ac:dyDescent="0.35">
      <c r="B271" s="119"/>
      <c r="C271" s="35" t="str">
        <f>Questionnaire!E272</f>
        <v>Intégration systématique dans la gouvernance projets.</v>
      </c>
      <c r="D271" s="35">
        <f>Questionnaire!D272</f>
        <v>4</v>
      </c>
    </row>
    <row r="272" spans="2:4" ht="15" hidden="1" thickBot="1" x14ac:dyDescent="0.35">
      <c r="B272" s="119"/>
      <c r="C272" s="35" t="str">
        <f>Questionnaire!E273</f>
        <v>Intégration totale et systématique dans la gouvernance projets.</v>
      </c>
      <c r="D272" s="35" t="str">
        <f>Questionnaire!D273</f>
        <v/>
      </c>
    </row>
    <row r="273" spans="2:4" ht="15" hidden="1" thickBot="1" x14ac:dyDescent="0.35">
      <c r="B273" s="119"/>
      <c r="C273" s="32" t="str">
        <f>Questionnaire!E274</f>
        <v>9Q3. Les architectes sont-ils impliqués dès les phases amont des projets ?</v>
      </c>
      <c r="D273" s="32">
        <f>Questionnaire!D274</f>
        <v>4</v>
      </c>
    </row>
    <row r="274" spans="2:4" ht="15" hidden="1" thickBot="1" x14ac:dyDescent="0.35">
      <c r="B274" s="119"/>
      <c r="C274" s="35" t="str">
        <f>Questionnaire!E275</f>
        <v>Architectes consultés trop tardivement ou jamais.</v>
      </c>
      <c r="D274" s="35" t="str">
        <f>Questionnaire!D275</f>
        <v/>
      </c>
    </row>
    <row r="275" spans="2:4" ht="15" hidden="1" thickBot="1" x14ac:dyDescent="0.35">
      <c r="B275" s="119"/>
      <c r="C275" s="35" t="str">
        <f>Questionnaire!E276</f>
        <v>Architectes impliqués sur certains projets mais rarement en amont.</v>
      </c>
      <c r="D275" s="35" t="str">
        <f>Questionnaire!D276</f>
        <v/>
      </c>
    </row>
    <row r="276" spans="2:4" ht="15" hidden="1" thickBot="1" x14ac:dyDescent="0.35">
      <c r="B276" s="119"/>
      <c r="C276" s="35" t="str">
        <f>Questionnaire!E277</f>
        <v>Architectes impliqués plus régulièrement mais sans systématisme.</v>
      </c>
      <c r="D276" s="35" t="str">
        <f>Questionnaire!D277</f>
        <v/>
      </c>
    </row>
    <row r="277" spans="2:4" ht="15" hidden="1" thickBot="1" x14ac:dyDescent="0.35">
      <c r="B277" s="119"/>
      <c r="C277" s="35" t="str">
        <f>Questionnaire!E278</f>
        <v>Architectes impliqués dès les phases amont.</v>
      </c>
      <c r="D277" s="35">
        <f>Questionnaire!D278</f>
        <v>4</v>
      </c>
    </row>
    <row r="278" spans="2:4" ht="15" hidden="1" thickBot="1" x14ac:dyDescent="0.35">
      <c r="B278" s="119"/>
      <c r="C278" s="35" t="str">
        <f>Questionnaire!E279</f>
        <v>Architectes moteurs dès la conception stratégique.</v>
      </c>
      <c r="D278" s="35" t="str">
        <f>Questionnaire!D279</f>
        <v/>
      </c>
    </row>
    <row r="279" spans="2:4" ht="15" hidden="1" thickBot="1" x14ac:dyDescent="0.35">
      <c r="B279" s="119"/>
      <c r="C279" s="32" t="str">
        <f>Questionnaire!E280</f>
        <v>9Q4. L’architecture collabore-t-elle efficacement avec les autres fonctions clés (PMO, stratégie, sécurité, etc.) ?</v>
      </c>
      <c r="D279" s="32">
        <f>Questionnaire!D280</f>
        <v>4</v>
      </c>
    </row>
    <row r="280" spans="2:4" ht="15" hidden="1" thickBot="1" x14ac:dyDescent="0.35">
      <c r="B280" s="119"/>
      <c r="C280" s="35" t="str">
        <f>Questionnaire!E281</f>
        <v>Peu de collaboration avec les autres fonctions clés.</v>
      </c>
      <c r="D280" s="35" t="str">
        <f>Questionnaire!D281</f>
        <v/>
      </c>
    </row>
    <row r="281" spans="2:4" ht="15" hidden="1" thickBot="1" x14ac:dyDescent="0.35">
      <c r="B281" s="119"/>
      <c r="C281" s="35" t="str">
        <f>Questionnaire!E282</f>
        <v>Collaboration limitée et ponctuelle.</v>
      </c>
      <c r="D281" s="35" t="str">
        <f>Questionnaire!D282</f>
        <v/>
      </c>
    </row>
    <row r="282" spans="2:4" ht="15" hidden="1" thickBot="1" x14ac:dyDescent="0.35">
      <c r="B282" s="119"/>
      <c r="C282" s="35" t="str">
        <f>Questionnaire!E283</f>
        <v>Collaboration en développement avec les autres fonctions clés.</v>
      </c>
      <c r="D282" s="35" t="str">
        <f>Questionnaire!D283</f>
        <v/>
      </c>
    </row>
    <row r="283" spans="2:4" ht="15" hidden="1" thickBot="1" x14ac:dyDescent="0.35">
      <c r="B283" s="119"/>
      <c r="C283" s="35" t="str">
        <f>Questionnaire!E284</f>
        <v>Collaboration fluide avec les autres fonctions clés.</v>
      </c>
      <c r="D283" s="35">
        <f>Questionnaire!D284</f>
        <v>4</v>
      </c>
    </row>
    <row r="284" spans="2:4" ht="15" hidden="1" thickBot="1" x14ac:dyDescent="0.35">
      <c r="B284" s="119"/>
      <c r="C284" s="35" t="str">
        <f>Questionnaire!E285</f>
        <v>Collaboration proactive et permanente.</v>
      </c>
      <c r="D284" s="35" t="str">
        <f>Questionnaire!D285</f>
        <v/>
      </c>
    </row>
    <row r="285" spans="2:4" ht="15" hidden="1" thickBot="1" x14ac:dyDescent="0.35">
      <c r="B285" s="119"/>
      <c r="C285" s="32" t="str">
        <f>Questionnaire!E286</f>
        <v>9Q5. Les changements organisationnels prennent-ils systématiquement en compte les impacts sur l’architecture ?</v>
      </c>
      <c r="D285" s="32">
        <f>Questionnaire!D286</f>
        <v>2</v>
      </c>
    </row>
    <row r="286" spans="2:4" ht="15" hidden="1" thickBot="1" x14ac:dyDescent="0.35">
      <c r="B286" s="119"/>
      <c r="C286" s="35" t="str">
        <f>Questionnaire!E287</f>
        <v>Les changements organisationnels ignorent l’architecture.</v>
      </c>
      <c r="D286" s="35" t="str">
        <f>Questionnaire!D287</f>
        <v/>
      </c>
    </row>
    <row r="287" spans="2:4" ht="15" hidden="1" thickBot="1" x14ac:dyDescent="0.35">
      <c r="B287" s="119"/>
      <c r="C287" s="35" t="str">
        <f>Questionnaire!E288</f>
        <v>Changements organisationnels rarement synchronisés avec l’architecture.</v>
      </c>
      <c r="D287" s="35">
        <f>Questionnaire!D288</f>
        <v>2</v>
      </c>
    </row>
    <row r="288" spans="2:4" ht="15" hidden="1" thickBot="1" x14ac:dyDescent="0.35">
      <c r="B288" s="119"/>
      <c r="C288" s="35" t="str">
        <f>Questionnaire!E289</f>
        <v>Prise en compte progressive des impacts organisationnels.</v>
      </c>
      <c r="D288" s="35" t="str">
        <f>Questionnaire!D289</f>
        <v/>
      </c>
    </row>
    <row r="289" spans="2:4" ht="15" hidden="1" thickBot="1" x14ac:dyDescent="0.35">
      <c r="B289" s="119"/>
      <c r="C289" s="35" t="str">
        <f>Questionnaire!E290</f>
        <v>Changements organisationnels analysés pour les impacts sur l’architecture.</v>
      </c>
      <c r="D289" s="35" t="str">
        <f>Questionnaire!D290</f>
        <v/>
      </c>
    </row>
    <row r="290" spans="2:4" ht="15" hidden="1" thickBot="1" x14ac:dyDescent="0.35">
      <c r="B290" s="119"/>
      <c r="C290" s="40" t="str">
        <f>Questionnaire!E291</f>
        <v>Changements organisationnels systématiquement synchronisés avec l’architecture.</v>
      </c>
      <c r="D290" s="40" t="str">
        <f>Questionnaire!D291</f>
        <v/>
      </c>
    </row>
    <row r="291" spans="2:4" ht="15" thickBot="1" x14ac:dyDescent="0.35">
      <c r="B291" s="74"/>
      <c r="C291" s="56"/>
      <c r="D291" s="48"/>
    </row>
  </sheetData>
  <sheetProtection autoFilter="0"/>
  <autoFilter ref="C2:D290" xr:uid="{6E08A4C5-1378-4367-B75B-0052442DD9FE}">
    <filterColumn colId="1">
      <customFilters and="1">
        <customFilter operator="lessThan" val="2"/>
        <customFilter operator="notEqual" val="0"/>
      </customFilters>
    </filterColumn>
  </autoFilter>
  <mergeCells count="9">
    <mergeCell ref="B5:B34"/>
    <mergeCell ref="B37:B66"/>
    <mergeCell ref="B261:B290"/>
    <mergeCell ref="B69:B98"/>
    <mergeCell ref="B101:B130"/>
    <mergeCell ref="B133:B162"/>
    <mergeCell ref="B165:B194"/>
    <mergeCell ref="B197:B226"/>
    <mergeCell ref="B229:B2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6744-7958-4EE4-937F-E982F2970262}">
  <sheetPr filterMode="1"/>
  <dimension ref="B1:D291"/>
  <sheetViews>
    <sheetView showGridLines="0" zoomScaleNormal="100" workbookViewId="0">
      <selection activeCell="B1" sqref="B1"/>
    </sheetView>
  </sheetViews>
  <sheetFormatPr baseColWidth="10" defaultColWidth="11.44140625" defaultRowHeight="14.4" x14ac:dyDescent="0.3"/>
  <cols>
    <col min="2" max="2" width="46.88671875" customWidth="1"/>
    <col min="3" max="3" width="107.33203125" customWidth="1"/>
    <col min="4" max="4" width="11.5546875" style="7" customWidth="1"/>
  </cols>
  <sheetData>
    <row r="1" spans="2:4" ht="15" thickBot="1" x14ac:dyDescent="0.35"/>
    <row r="2" spans="2:4" ht="21.6" thickBot="1" x14ac:dyDescent="0.45">
      <c r="B2" s="46"/>
      <c r="C2" s="47" t="s">
        <v>306</v>
      </c>
      <c r="D2" s="48" t="s">
        <v>2</v>
      </c>
    </row>
    <row r="3" spans="2:4" ht="18.600000000000001" hidden="1" thickBot="1" x14ac:dyDescent="0.35">
      <c r="C3" s="42" t="str">
        <f>Questionnaire!E4</f>
        <v>Architecture Governance Capability</v>
      </c>
      <c r="D3" s="42">
        <f>Questionnaire!D4</f>
        <v>3.6</v>
      </c>
    </row>
    <row r="4" spans="2:4" ht="15" hidden="1" thickBot="1" x14ac:dyDescent="0.35">
      <c r="C4" s="31" t="str">
        <f>Questionnaire!E5</f>
        <v>Assurer la cohérence des transformations et limiter les dérives</v>
      </c>
      <c r="D4" s="31">
        <f>Questionnaire!D5</f>
        <v>0</v>
      </c>
    </row>
    <row r="5" spans="2:4" x14ac:dyDescent="0.3">
      <c r="B5" s="121" t="str">
        <f>VLOOKUP(C5,Recherche!$B$2:$E$226,4)</f>
        <v>1. Architecture Governance Capability</v>
      </c>
      <c r="C5" s="38" t="str">
        <f>Questionnaire!E6</f>
        <v>1Q1. Existe-t-il une gouvernance d’architecture clairement définie (comité d’architecture, processus de validation, etc.) ?</v>
      </c>
      <c r="D5" s="109">
        <f>Questionnaire!D6</f>
        <v>2</v>
      </c>
    </row>
    <row r="6" spans="2:4" hidden="1" x14ac:dyDescent="0.3">
      <c r="B6" s="119"/>
      <c r="C6" s="39" t="str">
        <f>Questionnaire!E7</f>
        <v>Aucun comité d’architecture ni processus formel ; décisions au cas par cas.</v>
      </c>
      <c r="D6" s="35" t="str">
        <f>Questionnaire!D7</f>
        <v/>
      </c>
    </row>
    <row r="7" spans="2:4" ht="15" thickBot="1" x14ac:dyDescent="0.35">
      <c r="B7" s="119"/>
      <c r="C7" s="39" t="str">
        <f>Questionnaire!E8</f>
        <v>Un comité est envisagé mais pas encore actif ; peu de formalisation.</v>
      </c>
      <c r="D7" s="110">
        <f>Questionnaire!D8</f>
        <v>2</v>
      </c>
    </row>
    <row r="8" spans="2:4" ht="15" hidden="1" thickBot="1" x14ac:dyDescent="0.35">
      <c r="B8" s="119"/>
      <c r="C8" s="39" t="str">
        <f>Questionnaire!E9</f>
        <v>Comité existant avec rôles flous et gouvernance immature.</v>
      </c>
      <c r="D8" s="35" t="str">
        <f>Questionnaire!D9</f>
        <v/>
      </c>
    </row>
    <row r="9" spans="2:4" ht="15" hidden="1" thickBot="1" x14ac:dyDescent="0.35">
      <c r="B9" s="119"/>
      <c r="C9" s="39" t="str">
        <f>Questionnaire!E10</f>
        <v>Comité d’architecture bien défini, processus documenté et suivi.</v>
      </c>
      <c r="D9" s="35" t="str">
        <f>Questionnaire!D10</f>
        <v/>
      </c>
    </row>
    <row r="10" spans="2:4" ht="15" hidden="1" thickBot="1" x14ac:dyDescent="0.35">
      <c r="B10" s="119"/>
      <c r="C10" s="57" t="str">
        <f>Questionnaire!E11</f>
        <v>Gouvernance totalement intégrée et pilotée de façon stratégique.</v>
      </c>
      <c r="D10" s="40" t="str">
        <f>Questionnaire!D11</f>
        <v/>
      </c>
    </row>
    <row r="11" spans="2:4" ht="15" hidden="1" thickBot="1" x14ac:dyDescent="0.35">
      <c r="B11" s="122"/>
      <c r="C11" s="61" t="str">
        <f>Questionnaire!E12</f>
        <v>1Q2. Les principes et standards d’architecture sont-ils documentés et appliqués de façon cohérente ?</v>
      </c>
      <c r="D11" s="53">
        <f>Questionnaire!D12</f>
        <v>4</v>
      </c>
    </row>
    <row r="12" spans="2:4" ht="15" hidden="1" thickBot="1" x14ac:dyDescent="0.35">
      <c r="B12" s="119"/>
      <c r="C12" s="58" t="str">
        <f>Questionnaire!E13</f>
        <v>Aucun principe ni standard défini.</v>
      </c>
      <c r="D12" s="59" t="str">
        <f>Questionnaire!D13</f>
        <v/>
      </c>
    </row>
    <row r="13" spans="2:4" ht="15" hidden="1" thickBot="1" x14ac:dyDescent="0.35">
      <c r="B13" s="122"/>
      <c r="C13" s="62" t="str">
        <f>Questionnaire!E14</f>
        <v>Principes en cours de rédaction, non appliqués systématiquement.</v>
      </c>
      <c r="D13" s="55" t="str">
        <f>Questionnaire!D14</f>
        <v/>
      </c>
    </row>
    <row r="14" spans="2:4" ht="15" hidden="1" thickBot="1" x14ac:dyDescent="0.35">
      <c r="B14" s="119"/>
      <c r="C14" s="60" t="str">
        <f>Questionnaire!E15</f>
        <v>Principes définis mais appliqués de façon variable.</v>
      </c>
      <c r="D14" s="44" t="str">
        <f>Questionnaire!D15</f>
        <v/>
      </c>
    </row>
    <row r="15" spans="2:4" ht="15" hidden="1" thickBot="1" x14ac:dyDescent="0.35">
      <c r="B15" s="119"/>
      <c r="C15" s="39" t="str">
        <f>Questionnaire!E16</f>
        <v>Principes formalisés, communiqués et appliqués régulièrement.</v>
      </c>
      <c r="D15" s="35">
        <f>Questionnaire!D16</f>
        <v>4</v>
      </c>
    </row>
    <row r="16" spans="2:4" ht="15" hidden="1" thickBot="1" x14ac:dyDescent="0.35">
      <c r="B16" s="119"/>
      <c r="C16" s="57" t="str">
        <f>Questionnaire!E17</f>
        <v>Principes intégrés aux processus projets, suivis et améliorés.</v>
      </c>
      <c r="D16" s="40" t="str">
        <f>Questionnaire!D17</f>
        <v/>
      </c>
    </row>
    <row r="17" spans="2:4" ht="15" hidden="1" thickBot="1" x14ac:dyDescent="0.35">
      <c r="B17" s="122"/>
      <c r="C17" s="61" t="str">
        <f>Questionnaire!E18</f>
        <v>1Q3. Les dérogations ou exceptions sont-elles formellement gérées et suivies ?</v>
      </c>
      <c r="D17" s="53">
        <f>Questionnaire!D18</f>
        <v>3</v>
      </c>
    </row>
    <row r="18" spans="2:4" ht="15" hidden="1" thickBot="1" x14ac:dyDescent="0.35">
      <c r="B18" s="119"/>
      <c r="C18" s="58" t="str">
        <f>Questionnaire!E19</f>
        <v>Aucune gestion des dérogations.</v>
      </c>
      <c r="D18" s="59" t="str">
        <f>Questionnaire!D19</f>
        <v/>
      </c>
    </row>
    <row r="19" spans="2:4" ht="15" hidden="1" thickBot="1" x14ac:dyDescent="0.35">
      <c r="B19" s="122"/>
      <c r="C19" s="62" t="str">
        <f>Questionnaire!E20</f>
        <v>Gestion informelle des dérogations au cas par cas.</v>
      </c>
      <c r="D19" s="55" t="str">
        <f>Questionnaire!D20</f>
        <v/>
      </c>
    </row>
    <row r="20" spans="2:4" ht="15" hidden="1" thickBot="1" x14ac:dyDescent="0.35">
      <c r="B20" s="119"/>
      <c r="C20" s="60" t="str">
        <f>Questionnaire!E21</f>
        <v>Processus partiellement défini, dérogations tracées mais analyse incomplète.</v>
      </c>
      <c r="D20" s="44">
        <f>Questionnaire!D21</f>
        <v>3</v>
      </c>
    </row>
    <row r="21" spans="2:4" ht="15" hidden="1" thickBot="1" x14ac:dyDescent="0.35">
      <c r="B21" s="119"/>
      <c r="C21" s="39" t="str">
        <f>Questionnaire!E22</f>
        <v>Processus formalisé, dérogations documentées et analysées.</v>
      </c>
      <c r="D21" s="35" t="str">
        <f>Questionnaire!D22</f>
        <v/>
      </c>
    </row>
    <row r="22" spans="2:4" ht="15" hidden="1" thickBot="1" x14ac:dyDescent="0.35">
      <c r="B22" s="119"/>
      <c r="C22" s="57" t="str">
        <f>Questionnaire!E23</f>
        <v>Gestion des dérogations intégrée et optimisée, avec reporting.</v>
      </c>
      <c r="D22" s="40" t="str">
        <f>Questionnaire!D23</f>
        <v/>
      </c>
    </row>
    <row r="23" spans="2:4" ht="15" hidden="1" thickBot="1" x14ac:dyDescent="0.35">
      <c r="B23" s="122"/>
      <c r="C23" s="61" t="str">
        <f>Questionnaire!E24</f>
        <v>1Q4. Les décisions d’architecture sont-elles prises de manière transparente et tracées ?</v>
      </c>
      <c r="D23" s="53">
        <f>Questionnaire!D24</f>
        <v>5</v>
      </c>
    </row>
    <row r="24" spans="2:4" ht="15" hidden="1" thickBot="1" x14ac:dyDescent="0.35">
      <c r="B24" s="119"/>
      <c r="C24" s="58" t="str">
        <f>Questionnaire!E25</f>
        <v>Décisions prises de manière ad hoc et non documentées.</v>
      </c>
      <c r="D24" s="59" t="str">
        <f>Questionnaire!D25</f>
        <v/>
      </c>
    </row>
    <row r="25" spans="2:4" ht="15" hidden="1" thickBot="1" x14ac:dyDescent="0.35">
      <c r="B25" s="122"/>
      <c r="C25" s="62" t="str">
        <f>Questionnaire!E26</f>
        <v>Certaines décisions sont documentées mais la traçabilité est limitée.</v>
      </c>
      <c r="D25" s="55" t="str">
        <f>Questionnaire!D26</f>
        <v/>
      </c>
    </row>
    <row r="26" spans="2:4" ht="15" hidden="1" thickBot="1" x14ac:dyDescent="0.35">
      <c r="B26" s="119"/>
      <c r="C26" s="60" t="str">
        <f>Questionnaire!E27</f>
        <v>Décisions tracées mais manque de communication.</v>
      </c>
      <c r="D26" s="44" t="str">
        <f>Questionnaire!D27</f>
        <v/>
      </c>
    </row>
    <row r="27" spans="2:4" ht="15" hidden="1" thickBot="1" x14ac:dyDescent="0.35">
      <c r="B27" s="119"/>
      <c r="C27" s="39" t="str">
        <f>Questionnaire!E28</f>
        <v>Décisions documentées, tracées et communiquées.</v>
      </c>
      <c r="D27" s="35" t="str">
        <f>Questionnaire!D28</f>
        <v/>
      </c>
    </row>
    <row r="28" spans="2:4" ht="15" hidden="1" thickBot="1" x14ac:dyDescent="0.35">
      <c r="B28" s="119"/>
      <c r="C28" s="57" t="str">
        <f>Questionnaire!E29</f>
        <v>Décisions tracées et disponibles via outil/référentiel.</v>
      </c>
      <c r="D28" s="40">
        <f>Questionnaire!D29</f>
        <v>5</v>
      </c>
    </row>
    <row r="29" spans="2:4" ht="15" hidden="1" thickBot="1" x14ac:dyDescent="0.35">
      <c r="B29" s="122"/>
      <c r="C29" s="61" t="str">
        <f>Questionnaire!E30</f>
        <v>1Q5. Les parties prenantes (métiers et IT) participent-elles aux décisions d’architecture ?</v>
      </c>
      <c r="D29" s="53">
        <f>Questionnaire!D30</f>
        <v>4</v>
      </c>
    </row>
    <row r="30" spans="2:4" ht="15" hidden="1" thickBot="1" x14ac:dyDescent="0.35">
      <c r="B30" s="119"/>
      <c r="C30" s="58" t="str">
        <f>Questionnaire!E31</f>
        <v>Aucune implication des parties prenantes.</v>
      </c>
      <c r="D30" s="59" t="str">
        <f>Questionnaire!D31</f>
        <v/>
      </c>
    </row>
    <row r="31" spans="2:4" ht="15" hidden="1" thickBot="1" x14ac:dyDescent="0.35">
      <c r="B31" s="122"/>
      <c r="C31" s="62" t="str">
        <f>Questionnaire!E32</f>
        <v>Consultation ponctuelle des parties prenantes.</v>
      </c>
      <c r="D31" s="55" t="str">
        <f>Questionnaire!D32</f>
        <v/>
      </c>
    </row>
    <row r="32" spans="2:4" ht="15" hidden="1" thickBot="1" x14ac:dyDescent="0.35">
      <c r="B32" s="119"/>
      <c r="C32" s="60" t="str">
        <f>Questionnaire!E33</f>
        <v>Parties prenantes consultées mais peu impliquées.</v>
      </c>
      <c r="D32" s="44" t="str">
        <f>Questionnaire!D33</f>
        <v/>
      </c>
    </row>
    <row r="33" spans="2:4" ht="15" hidden="1" thickBot="1" x14ac:dyDescent="0.35">
      <c r="B33" s="119"/>
      <c r="C33" s="39" t="str">
        <f>Questionnaire!E34</f>
        <v>Participation active des parties prenantes aux décisions importantes.</v>
      </c>
      <c r="D33" s="35">
        <f>Questionnaire!D34</f>
        <v>4</v>
      </c>
    </row>
    <row r="34" spans="2:4" ht="15" hidden="1" thickBot="1" x14ac:dyDescent="0.35">
      <c r="B34" s="120"/>
      <c r="C34" s="39" t="str">
        <f>Questionnaire!E35</f>
        <v>Parties prenantes impliquées systématiquement et proactivement.</v>
      </c>
      <c r="D34" s="35" t="str">
        <f>Questionnaire!D35</f>
        <v/>
      </c>
    </row>
    <row r="35" spans="2:4" ht="18.600000000000001" hidden="1" thickBot="1" x14ac:dyDescent="0.4">
      <c r="B35" s="37"/>
      <c r="C35" s="33" t="str">
        <f>Questionnaire!E36</f>
        <v>Architecture Practice Process Method Capability</v>
      </c>
      <c r="D35" s="33">
        <f>Questionnaire!D36</f>
        <v>3</v>
      </c>
    </row>
    <row r="36" spans="2:4" ht="15" hidden="1" thickBot="1" x14ac:dyDescent="0.35">
      <c r="B36" s="37"/>
      <c r="C36" s="34" t="str">
        <f>Questionnaire!E37</f>
        <v>Standardiser les pratiques pour produire des résultats reproductibles et cohérents</v>
      </c>
      <c r="D36" s="34">
        <f>Questionnaire!D37</f>
        <v>0</v>
      </c>
    </row>
    <row r="37" spans="2:4" x14ac:dyDescent="0.3">
      <c r="B37" s="121" t="str">
        <f>VLOOKUP(C37,Recherche!$B$2:$E$226,4)</f>
        <v>2. Architecture Practice Process Method Capability</v>
      </c>
      <c r="C37" s="38" t="str">
        <f>Questionnaire!E38</f>
        <v>2Q1. Une méthodologie d’architecture (TOGAF, Zachman ou autre) est-elle adoptée et adaptée au contexte ?</v>
      </c>
      <c r="D37" s="109">
        <f>Questionnaire!D38</f>
        <v>2</v>
      </c>
    </row>
    <row r="38" spans="2:4" hidden="1" x14ac:dyDescent="0.3">
      <c r="B38" s="119"/>
      <c r="C38" s="39" t="str">
        <f>Questionnaire!E39</f>
        <v>Aucune méthodologie formelle d’architecture n’a été identifiée ou utilisée.</v>
      </c>
      <c r="D38" s="35" t="str">
        <f>Questionnaire!D39</f>
        <v/>
      </c>
    </row>
    <row r="39" spans="2:4" x14ac:dyDescent="0.3">
      <c r="B39" s="119"/>
      <c r="C39" s="39" t="str">
        <f>Questionnaire!E40</f>
        <v>Une méthodologie est envisagée mais pas encore formalisée ; quelques architectes l’appliquent ponctuellement.</v>
      </c>
      <c r="D39" s="110">
        <f>Questionnaire!D40</f>
        <v>2</v>
      </c>
    </row>
    <row r="40" spans="2:4" hidden="1" x14ac:dyDescent="0.3">
      <c r="B40" s="119"/>
      <c r="C40" s="39" t="str">
        <f>Questionnaire!E41</f>
        <v>Une méthodologie est définie mais son application varie d’un projet à l’autre, sans standardisation.</v>
      </c>
      <c r="D40" s="35" t="str">
        <f>Questionnaire!D41</f>
        <v/>
      </c>
    </row>
    <row r="41" spans="2:4" hidden="1" x14ac:dyDescent="0.3">
      <c r="B41" s="119"/>
      <c r="C41" s="39" t="str">
        <f>Questionnaire!E42</f>
        <v>Une méthodologie est adoptée, adaptée au contexte, et utilisée régulièrement sur la plupart des projets.</v>
      </c>
      <c r="D41" s="35" t="str">
        <f>Questionnaire!D42</f>
        <v/>
      </c>
    </row>
    <row r="42" spans="2:4" hidden="1" x14ac:dyDescent="0.3">
      <c r="B42" s="119"/>
      <c r="C42" s="39" t="str">
        <f>Questionnaire!E43</f>
        <v>La méthodologie est totalement intégrée, adaptée en continu, et soutenue par des formations et des guides pratiques.</v>
      </c>
      <c r="D42" s="35" t="str">
        <f>Questionnaire!D43</f>
        <v/>
      </c>
    </row>
    <row r="43" spans="2:4" hidden="1" x14ac:dyDescent="0.3">
      <c r="B43" s="119"/>
      <c r="C43" s="38" t="str">
        <f>Questionnaire!E44</f>
        <v>2Q2. Les étapes et les livrables du processus d’architecture sont-ils clairement définis ?</v>
      </c>
      <c r="D43" s="32">
        <f>Questionnaire!D44</f>
        <v>3</v>
      </c>
    </row>
    <row r="44" spans="2:4" hidden="1" x14ac:dyDescent="0.3">
      <c r="B44" s="119"/>
      <c r="C44" s="39" t="str">
        <f>Questionnaire!E45</f>
        <v>Aucun processus ni livrable défini. Chaque architecte fait selon ses habitudes.</v>
      </c>
      <c r="D44" s="35" t="str">
        <f>Questionnaire!D45</f>
        <v/>
      </c>
    </row>
    <row r="45" spans="2:4" hidden="1" x14ac:dyDescent="0.3">
      <c r="B45" s="119"/>
      <c r="C45" s="39" t="str">
        <f>Questionnaire!E46</f>
        <v>Quelques livrables sont définis mais pas alignés avec un processus structuré.</v>
      </c>
      <c r="D45" s="35" t="str">
        <f>Questionnaire!D46</f>
        <v/>
      </c>
    </row>
    <row r="46" spans="2:4" hidden="1" x14ac:dyDescent="0.3">
      <c r="B46" s="119"/>
      <c r="C46" s="39" t="str">
        <f>Questionnaire!E47</f>
        <v>Les étapes et les livrables sont définis mais pas systématiquement appliqués.</v>
      </c>
      <c r="D46" s="35">
        <f>Questionnaire!D47</f>
        <v>3</v>
      </c>
    </row>
    <row r="47" spans="2:4" hidden="1" x14ac:dyDescent="0.3">
      <c r="B47" s="119"/>
      <c r="C47" s="39" t="str">
        <f>Questionnaire!E48</f>
        <v>Les étapes et les livrables sont définis, normalisés et connus des équipes.</v>
      </c>
      <c r="D47" s="35" t="str">
        <f>Questionnaire!D48</f>
        <v/>
      </c>
    </row>
    <row r="48" spans="2:4" hidden="1" x14ac:dyDescent="0.3">
      <c r="B48" s="119"/>
      <c r="C48" s="39" t="str">
        <f>Questionnaire!E49</f>
        <v>Les étapes et les livrables sont standardisés, adaptés selon le contexte projet et audités régulièrement.</v>
      </c>
      <c r="D48" s="35" t="str">
        <f>Questionnaire!D49</f>
        <v/>
      </c>
    </row>
    <row r="49" spans="2:4" hidden="1" x14ac:dyDescent="0.3">
      <c r="B49" s="119"/>
      <c r="C49" s="38" t="str">
        <f>Questionnaire!E50</f>
        <v>2Q3. Les architectes appliquent-ils systématiquement la méthodologie définie ?</v>
      </c>
      <c r="D49" s="32">
        <f>Questionnaire!D50</f>
        <v>4</v>
      </c>
    </row>
    <row r="50" spans="2:4" hidden="1" x14ac:dyDescent="0.3">
      <c r="B50" s="119"/>
      <c r="C50" s="39" t="str">
        <f>Questionnaire!E51</f>
        <v>La méthodologie est rarement ou jamais appliquée.</v>
      </c>
      <c r="D50" s="35" t="str">
        <f>Questionnaire!D51</f>
        <v/>
      </c>
    </row>
    <row r="51" spans="2:4" hidden="1" x14ac:dyDescent="0.3">
      <c r="B51" s="119"/>
      <c r="C51" s="39" t="str">
        <f>Questionnaire!E52</f>
        <v>Application occasionnelle selon les projets ou les préférences individuelles.</v>
      </c>
      <c r="D51" s="35" t="str">
        <f>Questionnaire!D52</f>
        <v/>
      </c>
    </row>
    <row r="52" spans="2:4" hidden="1" x14ac:dyDescent="0.3">
      <c r="B52" s="119"/>
      <c r="C52" s="39" t="str">
        <f>Questionnaire!E53</f>
        <v>Application partielle, sans réelle homogénéité entre les projets.</v>
      </c>
      <c r="D52" s="35" t="str">
        <f>Questionnaire!D53</f>
        <v/>
      </c>
    </row>
    <row r="53" spans="2:4" hidden="1" x14ac:dyDescent="0.3">
      <c r="B53" s="119"/>
      <c r="C53" s="39" t="str">
        <f>Questionnaire!E54</f>
        <v>Méthodologie appliquée de façon cohérente par la plupart des architectes.</v>
      </c>
      <c r="D53" s="35">
        <f>Questionnaire!D54</f>
        <v>4</v>
      </c>
    </row>
    <row r="54" spans="2:4" hidden="1" x14ac:dyDescent="0.3">
      <c r="B54" s="119"/>
      <c r="C54" s="39" t="str">
        <f>Questionnaire!E55</f>
        <v>Méthodologie appliquée systématiquement, avec contrôle qualité et amélioration continue.</v>
      </c>
      <c r="D54" s="35" t="str">
        <f>Questionnaire!D55</f>
        <v/>
      </c>
    </row>
    <row r="55" spans="2:4" hidden="1" x14ac:dyDescent="0.3">
      <c r="B55" s="119"/>
      <c r="C55" s="38" t="str">
        <f>Questionnaire!E56</f>
        <v>2Q4. Les parties prenantes connaissent-elles et comprennent-elles le processus d’architecture ?</v>
      </c>
      <c r="D55" s="32">
        <f>Questionnaire!D56</f>
        <v>4</v>
      </c>
    </row>
    <row r="56" spans="2:4" hidden="1" x14ac:dyDescent="0.3">
      <c r="B56" s="119"/>
      <c r="C56" s="39" t="str">
        <f>Questionnaire!E57</f>
        <v>Les parties prenantes ne sont pas informées de l’existence d’un processus d’architecture.</v>
      </c>
      <c r="D56" s="35" t="str">
        <f>Questionnaire!D57</f>
        <v/>
      </c>
    </row>
    <row r="57" spans="2:4" hidden="1" x14ac:dyDescent="0.3">
      <c r="B57" s="119"/>
      <c r="C57" s="39" t="str">
        <f>Questionnaire!E58</f>
        <v>Communication ponctuelle, limitée à quelques projets pilotes.</v>
      </c>
      <c r="D57" s="35" t="str">
        <f>Questionnaire!D58</f>
        <v/>
      </c>
    </row>
    <row r="58" spans="2:4" hidden="1" x14ac:dyDescent="0.3">
      <c r="B58" s="119"/>
      <c r="C58" s="39" t="str">
        <f>Questionnaire!E59</f>
        <v>Communication existante mais compréhension inégale parmi les parties prenantes.</v>
      </c>
      <c r="D58" s="35" t="str">
        <f>Questionnaire!D59</f>
        <v/>
      </c>
    </row>
    <row r="59" spans="2:4" hidden="1" x14ac:dyDescent="0.3">
      <c r="B59" s="119"/>
      <c r="C59" s="39" t="str">
        <f>Questionnaire!E60</f>
        <v>Parties prenantes informées et impliquées, comprennent les principales étapes du processus.</v>
      </c>
      <c r="D59" s="35">
        <f>Questionnaire!D60</f>
        <v>4</v>
      </c>
    </row>
    <row r="60" spans="2:4" hidden="1" x14ac:dyDescent="0.3">
      <c r="B60" s="119"/>
      <c r="C60" s="39" t="str">
        <f>Questionnaire!E61</f>
        <v>Parties prenantes engagées et collaboratives, capables de contribuer activement au processus.</v>
      </c>
      <c r="D60" s="35" t="str">
        <f>Questionnaire!D61</f>
        <v/>
      </c>
    </row>
    <row r="61" spans="2:4" x14ac:dyDescent="0.3">
      <c r="B61" s="119"/>
      <c r="C61" s="38" t="str">
        <f>Questionnaire!E62</f>
        <v>2Q5. Le processus d’architecture est-il revu et amélioré régulièrement ?</v>
      </c>
      <c r="D61" s="109">
        <f>Questionnaire!D62</f>
        <v>2</v>
      </c>
    </row>
    <row r="62" spans="2:4" hidden="1" x14ac:dyDescent="0.3">
      <c r="B62" s="119"/>
      <c r="C62" s="39" t="str">
        <f>Questionnaire!E63</f>
        <v>Aucun processus de revue ou d’amélioration n’est en place.</v>
      </c>
      <c r="D62" s="35" t="str">
        <f>Questionnaire!D63</f>
        <v/>
      </c>
    </row>
    <row r="63" spans="2:4" ht="15" thickBot="1" x14ac:dyDescent="0.35">
      <c r="B63" s="119"/>
      <c r="C63" s="39" t="str">
        <f>Questionnaire!E64</f>
        <v>Réflexion en cours pour améliorer le processus mais sans mise en œuvre concrète.</v>
      </c>
      <c r="D63" s="110">
        <f>Questionnaire!D64</f>
        <v>2</v>
      </c>
    </row>
    <row r="64" spans="2:4" ht="15" hidden="1" thickBot="1" x14ac:dyDescent="0.35">
      <c r="B64" s="119"/>
      <c r="C64" s="39" t="str">
        <f>Questionnaire!E65</f>
        <v>Amélioration ponctuelle du processus sur retour d’expérience, mais non systématique.</v>
      </c>
      <c r="D64" s="35" t="str">
        <f>Questionnaire!D65</f>
        <v/>
      </c>
    </row>
    <row r="65" spans="2:4" ht="15" hidden="1" thickBot="1" x14ac:dyDescent="0.35">
      <c r="B65" s="119"/>
      <c r="C65" s="39" t="str">
        <f>Questionnaire!E66</f>
        <v>Processus révisé périodiquement à partir des retours d’expérience.</v>
      </c>
      <c r="D65" s="35" t="str">
        <f>Questionnaire!D66</f>
        <v/>
      </c>
    </row>
    <row r="66" spans="2:4" ht="15" hidden="1" thickBot="1" x14ac:dyDescent="0.35">
      <c r="B66" s="120"/>
      <c r="C66" s="39" t="str">
        <f>Questionnaire!E67</f>
        <v>Processus d’architecture intégré à un cycle d’amélioration continue, avec indicateurs et mise à jour régulière.</v>
      </c>
      <c r="D66" s="35" t="str">
        <f>Questionnaire!D67</f>
        <v/>
      </c>
    </row>
    <row r="67" spans="2:4" ht="18.600000000000001" hidden="1" thickBot="1" x14ac:dyDescent="0.4">
      <c r="B67" s="37"/>
      <c r="C67" s="33" t="str">
        <f>Questionnaire!E68</f>
        <v>Business &amp; IT Strategy Linkage Capability</v>
      </c>
      <c r="D67" s="33">
        <f>Questionnaire!D68</f>
        <v>1.8</v>
      </c>
    </row>
    <row r="68" spans="2:4" ht="15" hidden="1" thickBot="1" x14ac:dyDescent="0.35">
      <c r="B68" s="37"/>
      <c r="C68" s="34" t="str">
        <f>Questionnaire!E69</f>
        <v>S’assurer que l’architecture soutient réellement les besoins métiers</v>
      </c>
      <c r="D68" s="34">
        <f>Questionnaire!D69</f>
        <v>0</v>
      </c>
    </row>
    <row r="69" spans="2:4" x14ac:dyDescent="0.3">
      <c r="B69" s="121" t="str">
        <f>VLOOKUP(C69,Recherche!$B$2:$E$226,4)</f>
        <v>3. Business &amp; IT Strategy Linkage Capability</v>
      </c>
      <c r="C69" s="38" t="str">
        <f>Questionnaire!E70</f>
        <v>3Q1. L’architecture est-elle alignée avec la stratégie métier de l’organisation ?</v>
      </c>
      <c r="D69" s="109">
        <f>Questionnaire!D70</f>
        <v>2</v>
      </c>
    </row>
    <row r="70" spans="2:4" hidden="1" x14ac:dyDescent="0.3">
      <c r="B70" s="119"/>
      <c r="C70" s="39" t="str">
        <f>Questionnaire!E71</f>
        <v>Aucun alignement entre l’architecture et la stratégie métier.</v>
      </c>
      <c r="D70" s="35" t="str">
        <f>Questionnaire!D71</f>
        <v/>
      </c>
    </row>
    <row r="71" spans="2:4" x14ac:dyDescent="0.3">
      <c r="B71" s="119"/>
      <c r="C71" s="39" t="str">
        <f>Questionnaire!E72</f>
        <v>Alignement en réflexion mais pas encore formalisé.</v>
      </c>
      <c r="D71" s="110">
        <f>Questionnaire!D72</f>
        <v>2</v>
      </c>
    </row>
    <row r="72" spans="2:4" hidden="1" x14ac:dyDescent="0.3">
      <c r="B72" s="119"/>
      <c r="C72" s="39" t="str">
        <f>Questionnaire!E73</f>
        <v>Alignement partiel mais manque de cohérence.</v>
      </c>
      <c r="D72" s="35" t="str">
        <f>Questionnaire!D73</f>
        <v/>
      </c>
    </row>
    <row r="73" spans="2:4" hidden="1" x14ac:dyDescent="0.3">
      <c r="B73" s="119"/>
      <c r="C73" s="39" t="str">
        <f>Questionnaire!E74</f>
        <v>Alignement opérationnel avec la stratégie métier.</v>
      </c>
      <c r="D73" s="35" t="str">
        <f>Questionnaire!D74</f>
        <v/>
      </c>
    </row>
    <row r="74" spans="2:4" hidden="1" x14ac:dyDescent="0.3">
      <c r="B74" s="119"/>
      <c r="C74" s="39" t="str">
        <f>Questionnaire!E75</f>
        <v>Alignement stratégique parfaitement intégré aux processus d’architecture.</v>
      </c>
      <c r="D74" s="35" t="str">
        <f>Questionnaire!D75</f>
        <v/>
      </c>
    </row>
    <row r="75" spans="2:4" x14ac:dyDescent="0.3">
      <c r="B75" s="119"/>
      <c r="C75" s="38" t="str">
        <f>Questionnaire!E76</f>
        <v>3Q2. Les besoins métiers sont-ils systématiquement intégrés dans les décisions d’architecture ?</v>
      </c>
      <c r="D75" s="109">
        <f>Questionnaire!D76</f>
        <v>2</v>
      </c>
    </row>
    <row r="76" spans="2:4" hidden="1" x14ac:dyDescent="0.3">
      <c r="B76" s="119"/>
      <c r="C76" s="39" t="str">
        <f>Questionnaire!E77</f>
        <v>Les besoins métiers ne sont pas pris en compte.</v>
      </c>
      <c r="D76" s="35" t="str">
        <f>Questionnaire!D77</f>
        <v/>
      </c>
    </row>
    <row r="77" spans="2:4" ht="15" thickBot="1" x14ac:dyDescent="0.35">
      <c r="B77" s="119"/>
      <c r="C77" s="39" t="str">
        <f>Questionnaire!E78</f>
        <v>Intégration ponctuelle des besoins métiers.</v>
      </c>
      <c r="D77" s="110">
        <f>Questionnaire!D78</f>
        <v>2</v>
      </c>
    </row>
    <row r="78" spans="2:4" ht="15" hidden="1" thickBot="1" x14ac:dyDescent="0.35">
      <c r="B78" s="119"/>
      <c r="C78" s="39" t="str">
        <f>Questionnaire!E79</f>
        <v>Intégration variable selon les projets.</v>
      </c>
      <c r="D78" s="35" t="str">
        <f>Questionnaire!D79</f>
        <v/>
      </c>
    </row>
    <row r="79" spans="2:4" ht="15" hidden="1" thickBot="1" x14ac:dyDescent="0.35">
      <c r="B79" s="119"/>
      <c r="C79" s="39" t="str">
        <f>Questionnaire!E80</f>
        <v>Intégration régulière des besoins métiers dans les décisions.</v>
      </c>
      <c r="D79" s="35" t="str">
        <f>Questionnaire!D80</f>
        <v/>
      </c>
    </row>
    <row r="80" spans="2:4" ht="15" hidden="1" thickBot="1" x14ac:dyDescent="0.35">
      <c r="B80" s="119"/>
      <c r="C80" s="57" t="str">
        <f>Questionnaire!E81</f>
        <v>Intégration des besoins métiers systématique et priorisée.</v>
      </c>
      <c r="D80" s="40" t="str">
        <f>Questionnaire!D81</f>
        <v/>
      </c>
    </row>
    <row r="81" spans="2:4" ht="15" thickBot="1" x14ac:dyDescent="0.35">
      <c r="B81" s="122"/>
      <c r="C81" s="61" t="str">
        <f>Questionnaire!E82</f>
        <v>3Q3. Les projets stratégiques sont-ils priorisés en fonction de leur alignement avec l’architecture cible ?</v>
      </c>
      <c r="D81" s="114">
        <f>Questionnaire!D82</f>
        <v>2</v>
      </c>
    </row>
    <row r="82" spans="2:4" ht="15" hidden="1" thickBot="1" x14ac:dyDescent="0.35">
      <c r="B82" s="119"/>
      <c r="C82" s="58" t="str">
        <f>Questionnaire!E83</f>
        <v>Aucune priorisation stratégique des projets.</v>
      </c>
      <c r="D82" s="59" t="str">
        <f>Questionnaire!D83</f>
        <v/>
      </c>
    </row>
    <row r="83" spans="2:4" ht="15" thickBot="1" x14ac:dyDescent="0.35">
      <c r="B83" s="122"/>
      <c r="C83" s="62" t="str">
        <f>Questionnaire!E84</f>
        <v>Priorisation au cas par cas sans vision stratégique.</v>
      </c>
      <c r="D83" s="115">
        <f>Questionnaire!D84</f>
        <v>2</v>
      </c>
    </row>
    <row r="84" spans="2:4" hidden="1" x14ac:dyDescent="0.3">
      <c r="B84" s="119"/>
      <c r="C84" s="60" t="str">
        <f>Questionnaire!E85</f>
        <v>Priorisation existante mais non systématique.</v>
      </c>
      <c r="D84" s="44" t="str">
        <f>Questionnaire!D85</f>
        <v/>
      </c>
    </row>
    <row r="85" spans="2:4" hidden="1" x14ac:dyDescent="0.3">
      <c r="B85" s="119"/>
      <c r="C85" s="39" t="str">
        <f>Questionnaire!E86</f>
        <v>Priorisation stratégique des projets en place.</v>
      </c>
      <c r="D85" s="35" t="str">
        <f>Questionnaire!D86</f>
        <v/>
      </c>
    </row>
    <row r="86" spans="2:4" hidden="1" x14ac:dyDescent="0.3">
      <c r="B86" s="119"/>
      <c r="C86" s="39" t="str">
        <f>Questionnaire!E87</f>
        <v>Priorisation basée sur la valeur métier et la stratégie.</v>
      </c>
      <c r="D86" s="35" t="str">
        <f>Questionnaire!D87</f>
        <v/>
      </c>
    </row>
    <row r="87" spans="2:4" x14ac:dyDescent="0.3">
      <c r="B87" s="119"/>
      <c r="C87" s="38" t="str">
        <f>Questionnaire!E88</f>
        <v>3Q4. Les capacités métier sont-elles cartographiées et utilisées pour orienter les choix d’architecture ?</v>
      </c>
      <c r="D87" s="109">
        <f>Questionnaire!D88</f>
        <v>2</v>
      </c>
    </row>
    <row r="88" spans="2:4" hidden="1" x14ac:dyDescent="0.3">
      <c r="B88" s="119"/>
      <c r="C88" s="39" t="str">
        <f>Questionnaire!E89</f>
        <v>Aucune cartographie des capacités métier.</v>
      </c>
      <c r="D88" s="35" t="str">
        <f>Questionnaire!D89</f>
        <v/>
      </c>
    </row>
    <row r="89" spans="2:4" x14ac:dyDescent="0.3">
      <c r="B89" s="119"/>
      <c r="C89" s="39" t="str">
        <f>Questionnaire!E90</f>
        <v>Cartographie embryonnaire ou incomplète.</v>
      </c>
      <c r="D89" s="110">
        <f>Questionnaire!D90</f>
        <v>2</v>
      </c>
    </row>
    <row r="90" spans="2:4" hidden="1" x14ac:dyDescent="0.3">
      <c r="B90" s="119"/>
      <c r="C90" s="39" t="str">
        <f>Questionnaire!E91</f>
        <v>Cartographie des capacités métier partiellement exploitée.</v>
      </c>
      <c r="D90" s="35" t="str">
        <f>Questionnaire!D91</f>
        <v/>
      </c>
    </row>
    <row r="91" spans="2:4" hidden="1" x14ac:dyDescent="0.3">
      <c r="B91" s="119"/>
      <c r="C91" s="39" t="str">
        <f>Questionnaire!E92</f>
        <v>Cartographie des capacités métier utilisée pour orienter les choix.</v>
      </c>
      <c r="D91" s="35" t="str">
        <f>Questionnaire!D92</f>
        <v/>
      </c>
    </row>
    <row r="92" spans="2:4" hidden="1" x14ac:dyDescent="0.3">
      <c r="B92" s="119"/>
      <c r="C92" s="39" t="str">
        <f>Questionnaire!E93</f>
        <v>Cartographie des capacités métier utilisée comme référence stratégique.</v>
      </c>
      <c r="D92" s="35" t="str">
        <f>Questionnaire!D93</f>
        <v/>
      </c>
    </row>
    <row r="93" spans="2:4" hidden="1" x14ac:dyDescent="0.3">
      <c r="B93" s="119"/>
      <c r="C93" s="38" t="str">
        <f>Questionnaire!E94</f>
        <v>3Q5. Les parties prenantes métiers sont-elles impliquées dans la définition des priorités d’architecture ?</v>
      </c>
      <c r="D93" s="32">
        <f>Questionnaire!D94</f>
        <v>1</v>
      </c>
    </row>
    <row r="94" spans="2:4" hidden="1" x14ac:dyDescent="0.3">
      <c r="B94" s="119"/>
      <c r="C94" s="39" t="str">
        <f>Questionnaire!E95</f>
        <v>Les parties prenantes métiers sont absentes des discussions.</v>
      </c>
      <c r="D94" s="35">
        <f>Questionnaire!D95</f>
        <v>1</v>
      </c>
    </row>
    <row r="95" spans="2:4" hidden="1" x14ac:dyDescent="0.3">
      <c r="B95" s="119"/>
      <c r="C95" s="39" t="str">
        <f>Questionnaire!E96</f>
        <v>Les parties prenantes métiers sont consultées de manière ponctuelle.</v>
      </c>
      <c r="D95" s="35" t="str">
        <f>Questionnaire!D96</f>
        <v/>
      </c>
    </row>
    <row r="96" spans="2:4" hidden="1" x14ac:dyDescent="0.3">
      <c r="B96" s="119"/>
      <c r="C96" s="39" t="str">
        <f>Questionnaire!E97</f>
        <v>Les parties prenantes métiers participent mais sans rôle décisionnel.</v>
      </c>
      <c r="D96" s="35" t="str">
        <f>Questionnaire!D97</f>
        <v/>
      </c>
    </row>
    <row r="97" spans="2:4" hidden="1" x14ac:dyDescent="0.3">
      <c r="B97" s="119"/>
      <c r="C97" s="39" t="str">
        <f>Questionnaire!E98</f>
        <v>Les parties prenantes métiers sont impliquées et consultées régulièrement.</v>
      </c>
      <c r="D97" s="35" t="str">
        <f>Questionnaire!D98</f>
        <v/>
      </c>
    </row>
    <row r="98" spans="2:4" ht="15" hidden="1" thickBot="1" x14ac:dyDescent="0.35">
      <c r="B98" s="120"/>
      <c r="C98" s="39" t="str">
        <f>Questionnaire!E99</f>
        <v>Les parties prenantes métiers participent activement et influencent les décisions.</v>
      </c>
      <c r="D98" s="35" t="str">
        <f>Questionnaire!D99</f>
        <v/>
      </c>
    </row>
    <row r="99" spans="2:4" ht="18.600000000000001" thickBot="1" x14ac:dyDescent="0.4">
      <c r="B99" s="37"/>
      <c r="C99" s="33" t="str">
        <f>Questionnaire!E100</f>
        <v>Communication Capability</v>
      </c>
      <c r="D99" s="108">
        <f>Questionnaire!D100</f>
        <v>2.6</v>
      </c>
    </row>
    <row r="100" spans="2:4" hidden="1" x14ac:dyDescent="0.3">
      <c r="B100" s="37"/>
      <c r="C100" s="41" t="str">
        <f>Questionnaire!E101</f>
        <v>Favoriser l’adhésion et la compréhension de l’architecture</v>
      </c>
      <c r="D100" s="41">
        <f>Questionnaire!D101</f>
        <v>0</v>
      </c>
    </row>
    <row r="101" spans="2:4" ht="15" hidden="1" thickBot="1" x14ac:dyDescent="0.35">
      <c r="B101" s="122" t="str">
        <f>VLOOKUP(C101,Recherche!$B$2:$E$226,4)</f>
        <v>4. Communication Capability</v>
      </c>
      <c r="C101" s="61" t="str">
        <f>Questionnaire!E102</f>
        <v>4Q1. Les concepts d’architecture sont-ils vulgarisés pour les rendre accessibles aux parties prenantes ?</v>
      </c>
      <c r="D101" s="53">
        <f>Questionnaire!D102</f>
        <v>3</v>
      </c>
    </row>
    <row r="102" spans="2:4" hidden="1" x14ac:dyDescent="0.3">
      <c r="B102" s="119"/>
      <c r="C102" s="58" t="str">
        <f>Questionnaire!E103</f>
        <v>Aucune communication autour de l’architecture.</v>
      </c>
      <c r="D102" s="59" t="str">
        <f>Questionnaire!D103</f>
        <v/>
      </c>
    </row>
    <row r="103" spans="2:4" ht="15" hidden="1" thickBot="1" x14ac:dyDescent="0.35">
      <c r="B103" s="122"/>
      <c r="C103" s="62" t="str">
        <f>Questionnaire!E104</f>
        <v>Communication ponctuelle et limitée.</v>
      </c>
      <c r="D103" s="55" t="str">
        <f>Questionnaire!D104</f>
        <v/>
      </c>
    </row>
    <row r="104" spans="2:4" hidden="1" x14ac:dyDescent="0.3">
      <c r="B104" s="119"/>
      <c r="C104" s="60" t="str">
        <f>Questionnaire!E105</f>
        <v>Communication existante mais inégale.</v>
      </c>
      <c r="D104" s="44">
        <f>Questionnaire!D105</f>
        <v>3</v>
      </c>
    </row>
    <row r="105" spans="2:4" hidden="1" x14ac:dyDescent="0.3">
      <c r="B105" s="119"/>
      <c r="C105" s="39" t="str">
        <f>Questionnaire!E106</f>
        <v>Communication régulière et adaptée.</v>
      </c>
      <c r="D105" s="35" t="str">
        <f>Questionnaire!D106</f>
        <v/>
      </c>
    </row>
    <row r="106" spans="2:4" hidden="1" x14ac:dyDescent="0.3">
      <c r="B106" s="119"/>
      <c r="C106" s="39" t="str">
        <f>Questionnaire!E107</f>
        <v>Communication institutionnalisée, planifiée et proactive.</v>
      </c>
      <c r="D106" s="35" t="str">
        <f>Questionnaire!D107</f>
        <v/>
      </c>
    </row>
    <row r="107" spans="2:4" hidden="1" x14ac:dyDescent="0.3">
      <c r="B107" s="119"/>
      <c r="C107" s="38" t="str">
        <f>Questionnaire!E108</f>
        <v>4Q2. Les architectes sont-ils capables d’animer des ateliers et des réunions efficaces ?</v>
      </c>
      <c r="D107" s="32">
        <f>Questionnaire!D108</f>
        <v>3</v>
      </c>
    </row>
    <row r="108" spans="2:4" hidden="1" x14ac:dyDescent="0.3">
      <c r="B108" s="119"/>
      <c r="C108" s="39" t="str">
        <f>Questionnaire!E109</f>
        <v>Aucune animation d’atelier ni réunion efficace.</v>
      </c>
      <c r="D108" s="35" t="str">
        <f>Questionnaire!D109</f>
        <v/>
      </c>
    </row>
    <row r="109" spans="2:4" hidden="1" x14ac:dyDescent="0.3">
      <c r="B109" s="119"/>
      <c r="C109" s="39" t="str">
        <f>Questionnaire!E110</f>
        <v>Animation d’atelier occasionnelle et peu structurée.</v>
      </c>
      <c r="D109" s="35" t="str">
        <f>Questionnaire!D110</f>
        <v/>
      </c>
    </row>
    <row r="110" spans="2:4" hidden="1" x14ac:dyDescent="0.3">
      <c r="B110" s="119"/>
      <c r="C110" s="39" t="str">
        <f>Questionnaire!E111</f>
        <v>Animation d’ateliers variable selon les projets.</v>
      </c>
      <c r="D110" s="35">
        <f>Questionnaire!D111</f>
        <v>3</v>
      </c>
    </row>
    <row r="111" spans="2:4" hidden="1" x14ac:dyDescent="0.3">
      <c r="B111" s="119"/>
      <c r="C111" s="39" t="str">
        <f>Questionnaire!E112</f>
        <v>Animation d’ateliers efficace et interactive.</v>
      </c>
      <c r="D111" s="35" t="str">
        <f>Questionnaire!D112</f>
        <v/>
      </c>
    </row>
    <row r="112" spans="2:4" hidden="1" x14ac:dyDescent="0.3">
      <c r="B112" s="119"/>
      <c r="C112" s="39" t="str">
        <f>Questionnaire!E113</f>
        <v>Animation d’ateliers et réunions exemplaires.</v>
      </c>
      <c r="D112" s="35" t="str">
        <f>Questionnaire!D113</f>
        <v/>
      </c>
    </row>
    <row r="113" spans="2:4" ht="15" thickBot="1" x14ac:dyDescent="0.35">
      <c r="B113" s="123"/>
      <c r="C113" s="38" t="str">
        <f>Questionnaire!E114</f>
        <v>4Q3. Des supports de communication adaptés (présentations, synthèses, etc.) sont-ils produits régulièrement ?</v>
      </c>
      <c r="D113" s="109">
        <f>Questionnaire!D114</f>
        <v>2</v>
      </c>
    </row>
    <row r="114" spans="2:4" hidden="1" x14ac:dyDescent="0.3">
      <c r="B114" s="119"/>
      <c r="C114" s="39" t="str">
        <f>Questionnaire!E115</f>
        <v>Aucun support de communication adapté.</v>
      </c>
      <c r="D114" s="35" t="str">
        <f>Questionnaire!D115</f>
        <v/>
      </c>
    </row>
    <row r="115" spans="2:4" ht="15" thickBot="1" x14ac:dyDescent="0.35">
      <c r="B115" s="123"/>
      <c r="C115" s="39" t="str">
        <f>Questionnaire!E116</f>
        <v>Supports peu clairs ou inadaptés.</v>
      </c>
      <c r="D115" s="110">
        <f>Questionnaire!D116</f>
        <v>2</v>
      </c>
    </row>
    <row r="116" spans="2:4" ht="15" hidden="1" thickBot="1" x14ac:dyDescent="0.35">
      <c r="B116" s="119"/>
      <c r="C116" s="39" t="str">
        <f>Questionnaire!E117</f>
        <v>Supports améliorés mais pas systématiques.</v>
      </c>
      <c r="D116" s="35" t="str">
        <f>Questionnaire!D117</f>
        <v/>
      </c>
    </row>
    <row r="117" spans="2:4" ht="15" hidden="1" thickBot="1" x14ac:dyDescent="0.35">
      <c r="B117" s="119"/>
      <c r="C117" s="39" t="str">
        <f>Questionnaire!E118</f>
        <v>Supports clairs et pertinents pour les parties prenantes.</v>
      </c>
      <c r="D117" s="35" t="str">
        <f>Questionnaire!D118</f>
        <v/>
      </c>
    </row>
    <row r="118" spans="2:4" ht="15" hidden="1" thickBot="1" x14ac:dyDescent="0.35">
      <c r="B118" s="119"/>
      <c r="C118" s="57" t="str">
        <f>Questionnaire!E119</f>
        <v>Supports de communication de grande qualité et réutilisables.</v>
      </c>
      <c r="D118" s="40" t="str">
        <f>Questionnaire!D119</f>
        <v/>
      </c>
    </row>
    <row r="119" spans="2:4" ht="15" hidden="1" thickBot="1" x14ac:dyDescent="0.35">
      <c r="B119" s="122"/>
      <c r="C119" s="61" t="str">
        <f>Questionnaire!E120</f>
        <v>4Q4. Les parties prenantes comprennent-elles la valeur ajoutée de l’architecture ?</v>
      </c>
      <c r="D119" s="53">
        <f>Questionnaire!D120</f>
        <v>3</v>
      </c>
    </row>
    <row r="120" spans="2:4" ht="15" hidden="1" thickBot="1" x14ac:dyDescent="0.35">
      <c r="B120" s="119"/>
      <c r="C120" s="58" t="str">
        <f>Questionnaire!E121</f>
        <v>Les parties prenantes ne comprennent pas la valeur de l’architecture.</v>
      </c>
      <c r="D120" s="59" t="str">
        <f>Questionnaire!D121</f>
        <v/>
      </c>
    </row>
    <row r="121" spans="2:4" ht="15" hidden="1" thickBot="1" x14ac:dyDescent="0.35">
      <c r="B121" s="122"/>
      <c r="C121" s="62" t="str">
        <f>Questionnaire!E122</f>
        <v>Les parties prenantes comprennent partiellement la valeur.</v>
      </c>
      <c r="D121" s="55" t="str">
        <f>Questionnaire!D122</f>
        <v/>
      </c>
    </row>
    <row r="122" spans="2:4" ht="15" hidden="1" thickBot="1" x14ac:dyDescent="0.35">
      <c r="B122" s="119"/>
      <c r="C122" s="60" t="str">
        <f>Questionnaire!E123</f>
        <v>Compréhension partielle de la valeur ajoutée.</v>
      </c>
      <c r="D122" s="44">
        <f>Questionnaire!D123</f>
        <v>3</v>
      </c>
    </row>
    <row r="123" spans="2:4" ht="15" hidden="1" thickBot="1" x14ac:dyDescent="0.35">
      <c r="B123" s="119"/>
      <c r="C123" s="39" t="str">
        <f>Questionnaire!E124</f>
        <v>Bonne compréhension de la valeur de l’architecture.</v>
      </c>
      <c r="D123" s="35" t="str">
        <f>Questionnaire!D124</f>
        <v/>
      </c>
    </row>
    <row r="124" spans="2:4" ht="15" hidden="1" thickBot="1" x14ac:dyDescent="0.35">
      <c r="B124" s="119"/>
      <c r="C124" s="57" t="str">
        <f>Questionnaire!E125</f>
        <v>Les parties prenantes comprennent et défendent la valeur ajoutée.</v>
      </c>
      <c r="D124" s="40" t="str">
        <f>Questionnaire!D125</f>
        <v/>
      </c>
    </row>
    <row r="125" spans="2:4" ht="15" thickBot="1" x14ac:dyDescent="0.35">
      <c r="B125" s="123"/>
      <c r="C125" s="61" t="str">
        <f>Questionnaire!E126</f>
        <v>4Q5. La communication est-elle bidirectionnelle (écoute active et remontée des besoins) ?</v>
      </c>
      <c r="D125" s="114">
        <f>Questionnaire!D126</f>
        <v>2</v>
      </c>
    </row>
    <row r="126" spans="2:4" ht="15" hidden="1" thickBot="1" x14ac:dyDescent="0.35">
      <c r="B126" s="119"/>
      <c r="C126" s="58" t="str">
        <f>Questionnaire!E127</f>
        <v>Aucune écoute ni retour d’information.</v>
      </c>
      <c r="D126" s="59" t="str">
        <f>Questionnaire!D127</f>
        <v/>
      </c>
    </row>
    <row r="127" spans="2:4" ht="15" thickBot="1" x14ac:dyDescent="0.35">
      <c r="B127" s="123"/>
      <c r="C127" s="62" t="str">
        <f>Questionnaire!E128</f>
        <v>Communication unidirectionnelle descendante.</v>
      </c>
      <c r="D127" s="115">
        <f>Questionnaire!D128</f>
        <v>2</v>
      </c>
    </row>
    <row r="128" spans="2:4" hidden="1" x14ac:dyDescent="0.3">
      <c r="B128" s="119"/>
      <c r="C128" s="60" t="str">
        <f>Questionnaire!E129</f>
        <v>Communication en partie bidirectionnelle.</v>
      </c>
      <c r="D128" s="44" t="str">
        <f>Questionnaire!D129</f>
        <v/>
      </c>
    </row>
    <row r="129" spans="2:4" hidden="1" x14ac:dyDescent="0.3">
      <c r="B129" s="119"/>
      <c r="C129" s="39" t="str">
        <f>Questionnaire!E130</f>
        <v>Communication bidirectionnelle active.</v>
      </c>
      <c r="D129" s="35" t="str">
        <f>Questionnaire!D130</f>
        <v/>
      </c>
    </row>
    <row r="130" spans="2:4" ht="15" hidden="1" thickBot="1" x14ac:dyDescent="0.35">
      <c r="B130" s="120"/>
      <c r="C130" s="39" t="str">
        <f>Questionnaire!E131</f>
        <v>Communication bidirectionnelle et collaborative.</v>
      </c>
      <c r="D130" s="35" t="str">
        <f>Questionnaire!D131</f>
        <v/>
      </c>
    </row>
    <row r="131" spans="2:4" ht="18" hidden="1" x14ac:dyDescent="0.35">
      <c r="B131" s="37"/>
      <c r="C131" s="33" t="str">
        <f>Questionnaire!E132</f>
        <v>Tools &amp; Repository Capability</v>
      </c>
      <c r="D131" s="33">
        <f>Questionnaire!D132</f>
        <v>3</v>
      </c>
    </row>
    <row r="132" spans="2:4" hidden="1" x14ac:dyDescent="0.3">
      <c r="B132" s="37"/>
      <c r="C132" s="41" t="str">
        <f>Questionnaire!E133</f>
        <v>Structurer et capitaliser les connaissances en architecture</v>
      </c>
      <c r="D132" s="41">
        <f>Questionnaire!D133</f>
        <v>0</v>
      </c>
    </row>
    <row r="133" spans="2:4" ht="15" hidden="1" thickBot="1" x14ac:dyDescent="0.35">
      <c r="B133" s="122" t="str">
        <f>VLOOKUP(C133,Recherche!$B$2:$E$226,4)</f>
        <v>5. Tools &amp; Repository Capability</v>
      </c>
      <c r="C133" s="61" t="str">
        <f>Questionnaire!E134</f>
        <v>5Q1. Disposez-vous d’un outil d’architecture partagé et accessible à tous les architectes ?</v>
      </c>
      <c r="D133" s="53">
        <f>Questionnaire!D134</f>
        <v>3</v>
      </c>
    </row>
    <row r="134" spans="2:4" hidden="1" x14ac:dyDescent="0.3">
      <c r="B134" s="119"/>
      <c r="C134" s="58" t="str">
        <f>Questionnaire!E135</f>
        <v>Aucun outil d’architecture n’est utilisé.</v>
      </c>
      <c r="D134" s="59" t="str">
        <f>Questionnaire!D135</f>
        <v/>
      </c>
    </row>
    <row r="135" spans="2:4" ht="15" hidden="1" thickBot="1" x14ac:dyDescent="0.35">
      <c r="B135" s="122"/>
      <c r="C135" s="62" t="str">
        <f>Questionnaire!E136</f>
        <v>Un outil est envisagé mais son utilisation est limitée.</v>
      </c>
      <c r="D135" s="55" t="str">
        <f>Questionnaire!D136</f>
        <v/>
      </c>
    </row>
    <row r="136" spans="2:4" hidden="1" x14ac:dyDescent="0.3">
      <c r="B136" s="119"/>
      <c r="C136" s="60" t="str">
        <f>Questionnaire!E137</f>
        <v>Outil disponible mais son usage n’est pas homogène.</v>
      </c>
      <c r="D136" s="44">
        <f>Questionnaire!D137</f>
        <v>3</v>
      </c>
    </row>
    <row r="137" spans="2:4" hidden="1" x14ac:dyDescent="0.3">
      <c r="B137" s="119"/>
      <c r="C137" s="39" t="str">
        <f>Questionnaire!E138</f>
        <v>Outil d’architecture partagé et bien utilisé.</v>
      </c>
      <c r="D137" s="35" t="str">
        <f>Questionnaire!D138</f>
        <v/>
      </c>
    </row>
    <row r="138" spans="2:4" hidden="1" x14ac:dyDescent="0.3">
      <c r="B138" s="119"/>
      <c r="C138" s="39" t="str">
        <f>Questionnaire!E139</f>
        <v>Outil d’architecture totalement intégré à l’écosystème numérique.</v>
      </c>
      <c r="D138" s="35" t="str">
        <f>Questionnaire!D139</f>
        <v/>
      </c>
    </row>
    <row r="139" spans="2:4" hidden="1" x14ac:dyDescent="0.3">
      <c r="B139" s="119"/>
      <c r="C139" s="38" t="str">
        <f>Questionnaire!E140</f>
        <v>5Q2. Les modèles d’architecture sont-ils centralisés et à jour dans un référentiel unique ?</v>
      </c>
      <c r="D139" s="32">
        <f>Questionnaire!D140</f>
        <v>4</v>
      </c>
    </row>
    <row r="140" spans="2:4" hidden="1" x14ac:dyDescent="0.3">
      <c r="B140" s="119"/>
      <c r="C140" s="39" t="str">
        <f>Questionnaire!E141</f>
        <v>Les modèles d’architecture sont dispersés et non centralisés.</v>
      </c>
      <c r="D140" s="35" t="str">
        <f>Questionnaire!D141</f>
        <v/>
      </c>
    </row>
    <row r="141" spans="2:4" hidden="1" x14ac:dyDescent="0.3">
      <c r="B141" s="119"/>
      <c r="C141" s="39" t="str">
        <f>Questionnaire!E142</f>
        <v>Les modèles sont regroupés partiellement, sans mise à jour.</v>
      </c>
      <c r="D141" s="35" t="str">
        <f>Questionnaire!D142</f>
        <v/>
      </c>
    </row>
    <row r="142" spans="2:4" hidden="1" x14ac:dyDescent="0.3">
      <c r="B142" s="119"/>
      <c r="C142" s="39" t="str">
        <f>Questionnaire!E143</f>
        <v>Modèles centralisés mais mis à jour de manière irrégulière.</v>
      </c>
      <c r="D142" s="35" t="str">
        <f>Questionnaire!D143</f>
        <v/>
      </c>
    </row>
    <row r="143" spans="2:4" hidden="1" x14ac:dyDescent="0.3">
      <c r="B143" s="119"/>
      <c r="C143" s="39" t="str">
        <f>Questionnaire!E144</f>
        <v>Modèles centralisés, à jour et accessibles.</v>
      </c>
      <c r="D143" s="35">
        <f>Questionnaire!D144</f>
        <v>4</v>
      </c>
    </row>
    <row r="144" spans="2:4" hidden="1" x14ac:dyDescent="0.3">
      <c r="B144" s="119"/>
      <c r="C144" s="39" t="str">
        <f>Questionnaire!E145</f>
        <v>Modèles complets, mis à jour en temps réel et exploités activement.</v>
      </c>
      <c r="D144" s="35" t="str">
        <f>Questionnaire!D145</f>
        <v/>
      </c>
    </row>
    <row r="145" spans="2:4" hidden="1" x14ac:dyDescent="0.3">
      <c r="B145" s="119"/>
      <c r="C145" s="38" t="str">
        <f>Questionnaire!E146</f>
        <v>5Q3. L’outil d’architecture est-il utilisé de manière cohérente et normalisée ?</v>
      </c>
      <c r="D145" s="32">
        <f>Questionnaire!D146</f>
        <v>3</v>
      </c>
    </row>
    <row r="146" spans="2:4" hidden="1" x14ac:dyDescent="0.3">
      <c r="B146" s="119"/>
      <c r="C146" s="39" t="str">
        <f>Questionnaire!E147</f>
        <v>L’outil n’est pas utilisé ou est obsolète.</v>
      </c>
      <c r="D146" s="35" t="str">
        <f>Questionnaire!D147</f>
        <v/>
      </c>
    </row>
    <row r="147" spans="2:4" hidden="1" x14ac:dyDescent="0.3">
      <c r="B147" s="119"/>
      <c r="C147" s="39" t="str">
        <f>Questionnaire!E148</f>
        <v>Utilisation sporadique de l’outil d’architecture.</v>
      </c>
      <c r="D147" s="35" t="str">
        <f>Questionnaire!D148</f>
        <v/>
      </c>
    </row>
    <row r="148" spans="2:4" hidden="1" x14ac:dyDescent="0.3">
      <c r="B148" s="119"/>
      <c r="C148" s="39" t="str">
        <f>Questionnaire!E149</f>
        <v>Utilisation variable selon les projets et les équipes.</v>
      </c>
      <c r="D148" s="35">
        <f>Questionnaire!D149</f>
        <v>3</v>
      </c>
    </row>
    <row r="149" spans="2:4" hidden="1" x14ac:dyDescent="0.3">
      <c r="B149" s="119"/>
      <c r="C149" s="39" t="str">
        <f>Questionnaire!E150</f>
        <v>Utilisation homogène et standardisée.</v>
      </c>
      <c r="D149" s="35" t="str">
        <f>Questionnaire!D150</f>
        <v/>
      </c>
    </row>
    <row r="150" spans="2:4" hidden="1" x14ac:dyDescent="0.3">
      <c r="B150" s="119"/>
      <c r="C150" s="39" t="str">
        <f>Questionnaire!E151</f>
        <v>Utilisation systématique et institutionnalisée.</v>
      </c>
      <c r="D150" s="35" t="str">
        <f>Questionnaire!D151</f>
        <v/>
      </c>
    </row>
    <row r="151" spans="2:4" hidden="1" x14ac:dyDescent="0.3">
      <c r="B151" s="119"/>
      <c r="C151" s="38" t="str">
        <f>Questionnaire!E152</f>
        <v>5Q4. Les parties prenantes ont-elles accès aux informations pertinentes via l’outil ?</v>
      </c>
      <c r="D151" s="32">
        <f>Questionnaire!D152</f>
        <v>3</v>
      </c>
    </row>
    <row r="152" spans="2:4" hidden="1" x14ac:dyDescent="0.3">
      <c r="B152" s="119"/>
      <c r="C152" s="39" t="str">
        <f>Questionnaire!E153</f>
        <v>Aucun accès ou visibilité pour les parties prenantes.</v>
      </c>
      <c r="D152" s="35" t="str">
        <f>Questionnaire!D153</f>
        <v/>
      </c>
    </row>
    <row r="153" spans="2:4" hidden="1" x14ac:dyDescent="0.3">
      <c r="B153" s="119"/>
      <c r="C153" s="39" t="str">
        <f>Questionnaire!E154</f>
        <v>Accès limité pour certaines parties prenantes.</v>
      </c>
      <c r="D153" s="35" t="str">
        <f>Questionnaire!D154</f>
        <v/>
      </c>
    </row>
    <row r="154" spans="2:4" hidden="1" x14ac:dyDescent="0.3">
      <c r="B154" s="119"/>
      <c r="C154" s="39" t="str">
        <f>Questionnaire!E155</f>
        <v>Accès partiel pour les parties prenantes, usage inégal.</v>
      </c>
      <c r="D154" s="35">
        <f>Questionnaire!D155</f>
        <v>3</v>
      </c>
    </row>
    <row r="155" spans="2:4" hidden="1" x14ac:dyDescent="0.3">
      <c r="B155" s="119"/>
      <c r="C155" s="39" t="str">
        <f>Questionnaire!E156</f>
        <v>Accès facile pour les parties prenantes pertinentes.</v>
      </c>
      <c r="D155" s="35" t="str">
        <f>Questionnaire!D156</f>
        <v/>
      </c>
    </row>
    <row r="156" spans="2:4" hidden="1" x14ac:dyDescent="0.3">
      <c r="B156" s="119"/>
      <c r="C156" s="39" t="str">
        <f>Questionnaire!E157</f>
        <v>Accès personnalisé et collaboratif pour les parties prenantes.</v>
      </c>
      <c r="D156" s="35" t="str">
        <f>Questionnaire!D157</f>
        <v/>
      </c>
    </row>
    <row r="157" spans="2:4" ht="15" thickBot="1" x14ac:dyDescent="0.35">
      <c r="B157" s="123"/>
      <c r="C157" s="38" t="str">
        <f>Questionnaire!E158</f>
        <v>5Q5. L’outil d’architecture est-il intégré aux autres outils de l’entreprise (PMO, CMDB, etc.) ?</v>
      </c>
      <c r="D157" s="109">
        <f>Questionnaire!D158</f>
        <v>2</v>
      </c>
    </row>
    <row r="158" spans="2:4" hidden="1" x14ac:dyDescent="0.3">
      <c r="B158" s="119"/>
      <c r="C158" s="39" t="str">
        <f>Questionnaire!E159</f>
        <v>Aucun lien avec les autres outils de l’entreprise.</v>
      </c>
      <c r="D158" s="35" t="str">
        <f>Questionnaire!D159</f>
        <v/>
      </c>
    </row>
    <row r="159" spans="2:4" ht="15" thickBot="1" x14ac:dyDescent="0.35">
      <c r="B159" s="123"/>
      <c r="C159" s="39" t="str">
        <f>Questionnaire!E160</f>
        <v>Début de réflexion sur les intégrations possibles.</v>
      </c>
      <c r="D159" s="110">
        <f>Questionnaire!D160</f>
        <v>2</v>
      </c>
    </row>
    <row r="160" spans="2:4" hidden="1" x14ac:dyDescent="0.3">
      <c r="B160" s="119"/>
      <c r="C160" s="39" t="str">
        <f>Questionnaire!E161</f>
        <v>Intégrations partielles ou manuelles avec d’autres outils.</v>
      </c>
      <c r="D160" s="35" t="str">
        <f>Questionnaire!D161</f>
        <v/>
      </c>
    </row>
    <row r="161" spans="2:4" hidden="1" x14ac:dyDescent="0.3">
      <c r="B161" s="119"/>
      <c r="C161" s="39" t="str">
        <f>Questionnaire!E162</f>
        <v>Outil intégré aux principaux outils (PMO, CMDB, etc.).</v>
      </c>
      <c r="D161" s="35" t="str">
        <f>Questionnaire!D162</f>
        <v/>
      </c>
    </row>
    <row r="162" spans="2:4" ht="15" hidden="1" thickBot="1" x14ac:dyDescent="0.35">
      <c r="B162" s="120"/>
      <c r="C162" s="39" t="str">
        <f>Questionnaire!E163</f>
        <v>Intégration fluide et automatisée avec l’ensemble des outils.</v>
      </c>
      <c r="D162" s="35" t="str">
        <f>Questionnaire!D163</f>
        <v/>
      </c>
    </row>
    <row r="163" spans="2:4" ht="18" hidden="1" x14ac:dyDescent="0.35">
      <c r="B163" s="37"/>
      <c r="C163" s="33" t="str">
        <f>Questionnaire!E164</f>
        <v>People and Team Capability</v>
      </c>
      <c r="D163" s="33">
        <f>Questionnaire!D164</f>
        <v>1.4</v>
      </c>
    </row>
    <row r="164" spans="2:4" ht="15" hidden="1" thickBot="1" x14ac:dyDescent="0.35">
      <c r="B164" s="37"/>
      <c r="C164" s="34" t="str">
        <f>Questionnaire!E165</f>
        <v>Disposer des bonnes ressources pour porter l’architecture</v>
      </c>
      <c r="D164" s="34">
        <f>Questionnaire!D165</f>
        <v>0</v>
      </c>
    </row>
    <row r="165" spans="2:4" hidden="1" x14ac:dyDescent="0.3">
      <c r="B165" s="121" t="str">
        <f>VLOOKUP(C165,Recherche!$B$2:$E$226,4)</f>
        <v>6. People and Team Capability</v>
      </c>
      <c r="C165" s="38" t="str">
        <f>Questionnaire!E166</f>
        <v>6Q1. Disposez-vous d’une équipe d’architectes clairement identifiée et dotée de rôles définis ?</v>
      </c>
      <c r="D165" s="32">
        <f>Questionnaire!D166</f>
        <v>1</v>
      </c>
    </row>
    <row r="166" spans="2:4" hidden="1" x14ac:dyDescent="0.3">
      <c r="B166" s="119"/>
      <c r="C166" s="39" t="str">
        <f>Questionnaire!E167</f>
        <v>Pas d’équipe d’architectes identifiée ni de rôles définis.</v>
      </c>
      <c r="D166" s="35">
        <f>Questionnaire!D167</f>
        <v>1</v>
      </c>
    </row>
    <row r="167" spans="2:4" hidden="1" x14ac:dyDescent="0.3">
      <c r="B167" s="119"/>
      <c r="C167" s="39" t="str">
        <f>Questionnaire!E168</f>
        <v>Définition des rôles embryonnaire ou partielle.</v>
      </c>
      <c r="D167" s="35" t="str">
        <f>Questionnaire!D168</f>
        <v/>
      </c>
    </row>
    <row r="168" spans="2:4" hidden="1" x14ac:dyDescent="0.3">
      <c r="B168" s="119"/>
      <c r="C168" s="39" t="str">
        <f>Questionnaire!E169</f>
        <v>Rôles définis mais manque de clarté ou d’homogénéité.</v>
      </c>
      <c r="D168" s="35" t="str">
        <f>Questionnaire!D169</f>
        <v/>
      </c>
    </row>
    <row r="169" spans="2:4" hidden="1" x14ac:dyDescent="0.3">
      <c r="B169" s="119"/>
      <c r="C169" s="39" t="str">
        <f>Questionnaire!E170</f>
        <v>Rôles bien définis et connus de l’organisation.</v>
      </c>
      <c r="D169" s="35" t="str">
        <f>Questionnaire!D170</f>
        <v/>
      </c>
    </row>
    <row r="170" spans="2:4" hidden="1" x14ac:dyDescent="0.3">
      <c r="B170" s="119"/>
      <c r="C170" s="39" t="str">
        <f>Questionnaire!E171</f>
        <v>Rôles définis, connus et intégrés dans la gouvernance.</v>
      </c>
      <c r="D170" s="35" t="str">
        <f>Questionnaire!D171</f>
        <v/>
      </c>
    </row>
    <row r="171" spans="2:4" hidden="1" x14ac:dyDescent="0.3">
      <c r="B171" s="119"/>
      <c r="C171" s="38" t="str">
        <f>Questionnaire!E172</f>
        <v>6Q2. Les compétences de l’équipe sont-elles alignées avec les besoins de l’organisation ?</v>
      </c>
      <c r="D171" s="32">
        <f>Questionnaire!D172</f>
        <v>1</v>
      </c>
    </row>
    <row r="172" spans="2:4" hidden="1" x14ac:dyDescent="0.3">
      <c r="B172" s="119"/>
      <c r="C172" s="39" t="str">
        <f>Questionnaire!E173</f>
        <v>Compétences non alignées avec les besoins de l’organisation.</v>
      </c>
      <c r="D172" s="35">
        <f>Questionnaire!D173</f>
        <v>1</v>
      </c>
    </row>
    <row r="173" spans="2:4" hidden="1" x14ac:dyDescent="0.3">
      <c r="B173" s="119"/>
      <c r="C173" s="39" t="str">
        <f>Questionnaire!E174</f>
        <v>Compétences partiellement alignées, lacunes importantes.</v>
      </c>
      <c r="D173" s="35" t="str">
        <f>Questionnaire!D174</f>
        <v/>
      </c>
    </row>
    <row r="174" spans="2:4" hidden="1" x14ac:dyDescent="0.3">
      <c r="B174" s="119"/>
      <c r="C174" s="39" t="str">
        <f>Questionnaire!E175</f>
        <v>Compétences globalement alignées mais à renforcer.</v>
      </c>
      <c r="D174" s="35" t="str">
        <f>Questionnaire!D175</f>
        <v/>
      </c>
    </row>
    <row r="175" spans="2:4" hidden="1" x14ac:dyDescent="0.3">
      <c r="B175" s="119"/>
      <c r="C175" s="39" t="str">
        <f>Questionnaire!E176</f>
        <v>Compétences alignées et plan de formation adapté.</v>
      </c>
      <c r="D175" s="35" t="str">
        <f>Questionnaire!D176</f>
        <v/>
      </c>
    </row>
    <row r="176" spans="2:4" hidden="1" x14ac:dyDescent="0.3">
      <c r="B176" s="119"/>
      <c r="C176" s="39" t="str">
        <f>Questionnaire!E177</f>
        <v>Compétences stratégiques alignées et en constante évolution.</v>
      </c>
      <c r="D176" s="35" t="str">
        <f>Questionnaire!D177</f>
        <v/>
      </c>
    </row>
    <row r="177" spans="2:4" hidden="1" x14ac:dyDescent="0.3">
      <c r="B177" s="119"/>
      <c r="C177" s="38" t="str">
        <f>Questionnaire!E178</f>
        <v>6Q3. Un plan de formation et de développement des compétences est-il mis en place ?</v>
      </c>
      <c r="D177" s="32">
        <f>Questionnaire!D178</f>
        <v>1</v>
      </c>
    </row>
    <row r="178" spans="2:4" hidden="1" x14ac:dyDescent="0.3">
      <c r="B178" s="119"/>
      <c r="C178" s="39" t="str">
        <f>Questionnaire!E179</f>
        <v>Aucun plan de formation en place.</v>
      </c>
      <c r="D178" s="35">
        <f>Questionnaire!D179</f>
        <v>1</v>
      </c>
    </row>
    <row r="179" spans="2:4" hidden="1" x14ac:dyDescent="0.3">
      <c r="B179" s="119"/>
      <c r="C179" s="39" t="str">
        <f>Questionnaire!E180</f>
        <v>Formations ponctuelles mais non planifiées.</v>
      </c>
      <c r="D179" s="35" t="str">
        <f>Questionnaire!D180</f>
        <v/>
      </c>
    </row>
    <row r="180" spans="2:4" hidden="1" x14ac:dyDescent="0.3">
      <c r="B180" s="119"/>
      <c r="C180" s="39" t="str">
        <f>Questionnaire!E181</f>
        <v>Formations présentes mais insuffisantes pour tous.</v>
      </c>
      <c r="D180" s="35" t="str">
        <f>Questionnaire!D181</f>
        <v/>
      </c>
    </row>
    <row r="181" spans="2:4" hidden="1" x14ac:dyDescent="0.3">
      <c r="B181" s="119"/>
      <c r="C181" s="39" t="str">
        <f>Questionnaire!E182</f>
        <v>Formations régulières et développement des compétences.</v>
      </c>
      <c r="D181" s="35" t="str">
        <f>Questionnaire!D182</f>
        <v/>
      </c>
    </row>
    <row r="182" spans="2:4" hidden="1" x14ac:dyDescent="0.3">
      <c r="B182" s="119"/>
      <c r="C182" s="39" t="str">
        <f>Questionnaire!E183</f>
        <v>Plan de formation structuré et personnalisé.</v>
      </c>
      <c r="D182" s="35" t="str">
        <f>Questionnaire!D183</f>
        <v/>
      </c>
    </row>
    <row r="183" spans="2:4" hidden="1" x14ac:dyDescent="0.3">
      <c r="B183" s="119"/>
      <c r="C183" s="38" t="str">
        <f>Questionnaire!E184</f>
        <v>6Q4. Les architectes collaborent-ils efficacement entre eux et avec les autres équipes ?</v>
      </c>
      <c r="D183" s="32">
        <f>Questionnaire!D184</f>
        <v>1</v>
      </c>
    </row>
    <row r="184" spans="2:4" hidden="1" x14ac:dyDescent="0.3">
      <c r="B184" s="119"/>
      <c r="C184" s="39" t="str">
        <f>Questionnaire!E185</f>
        <v>Peu de collaboration entre architectes et autres équipes.</v>
      </c>
      <c r="D184" s="35">
        <f>Questionnaire!D185</f>
        <v>1</v>
      </c>
    </row>
    <row r="185" spans="2:4" hidden="1" x14ac:dyDescent="0.3">
      <c r="B185" s="119"/>
      <c r="C185" s="39" t="str">
        <f>Questionnaire!E186</f>
        <v>Collaboration limitée à quelques projets.</v>
      </c>
      <c r="D185" s="35" t="str">
        <f>Questionnaire!D186</f>
        <v/>
      </c>
    </row>
    <row r="186" spans="2:4" hidden="1" x14ac:dyDescent="0.3">
      <c r="B186" s="119"/>
      <c r="C186" s="39" t="str">
        <f>Questionnaire!E187</f>
        <v>Collaboration variable selon les projets.</v>
      </c>
      <c r="D186" s="35" t="str">
        <f>Questionnaire!D187</f>
        <v/>
      </c>
    </row>
    <row r="187" spans="2:4" hidden="1" x14ac:dyDescent="0.3">
      <c r="B187" s="119"/>
      <c r="C187" s="39" t="str">
        <f>Questionnaire!E188</f>
        <v>Collaboration efficace et régulière avec les autres équipes.</v>
      </c>
      <c r="D187" s="35" t="str">
        <f>Questionnaire!D188</f>
        <v/>
      </c>
    </row>
    <row r="188" spans="2:4" hidden="1" x14ac:dyDescent="0.3">
      <c r="B188" s="119"/>
      <c r="C188" s="39" t="str">
        <f>Questionnaire!E189</f>
        <v>Collaboration proactive et transversale.</v>
      </c>
      <c r="D188" s="35" t="str">
        <f>Questionnaire!D189</f>
        <v/>
      </c>
    </row>
    <row r="189" spans="2:4" hidden="1" x14ac:dyDescent="0.3">
      <c r="B189" s="119"/>
      <c r="C189" s="38" t="str">
        <f>Questionnaire!E190</f>
        <v>6Q5. Les architectes sont-ils reconnus et valorisés dans l’organisation ?</v>
      </c>
      <c r="D189" s="32">
        <f>Questionnaire!D190</f>
        <v>3</v>
      </c>
    </row>
    <row r="190" spans="2:4" hidden="1" x14ac:dyDescent="0.3">
      <c r="B190" s="119"/>
      <c r="C190" s="39" t="str">
        <f>Questionnaire!E191</f>
        <v>Aucune reconnaissance de la fonction architecture.</v>
      </c>
      <c r="D190" s="35" t="str">
        <f>Questionnaire!D191</f>
        <v/>
      </c>
    </row>
    <row r="191" spans="2:4" hidden="1" x14ac:dyDescent="0.3">
      <c r="B191" s="119"/>
      <c r="C191" s="39" t="str">
        <f>Questionnaire!E192</f>
        <v>Reconnaissance limitée ou ponctuelle de la fonction.</v>
      </c>
      <c r="D191" s="35" t="str">
        <f>Questionnaire!D192</f>
        <v/>
      </c>
    </row>
    <row r="192" spans="2:4" hidden="1" x14ac:dyDescent="0.3">
      <c r="B192" s="119"/>
      <c r="C192" s="39" t="str">
        <f>Questionnaire!E193</f>
        <v>Reconnaissance progressive mais pas institutionnalisée.</v>
      </c>
      <c r="D192" s="35">
        <f>Questionnaire!D193</f>
        <v>3</v>
      </c>
    </row>
    <row r="193" spans="2:4" hidden="1" x14ac:dyDescent="0.3">
      <c r="B193" s="119"/>
      <c r="C193" s="39" t="str">
        <f>Questionnaire!E194</f>
        <v>Reconnaissance de la fonction architecture par le management.</v>
      </c>
      <c r="D193" s="35" t="str">
        <f>Questionnaire!D194</f>
        <v/>
      </c>
    </row>
    <row r="194" spans="2:4" ht="15" hidden="1" thickBot="1" x14ac:dyDescent="0.35">
      <c r="B194" s="120"/>
      <c r="C194" s="39" t="str">
        <f>Questionnaire!E195</f>
        <v>Fonction architecture reconnue et valorisée par l’organisation.</v>
      </c>
      <c r="D194" s="35" t="str">
        <f>Questionnaire!D195</f>
        <v/>
      </c>
    </row>
    <row r="195" spans="2:4" ht="18" hidden="1" x14ac:dyDescent="0.35">
      <c r="B195" s="37"/>
      <c r="C195" s="33" t="str">
        <f>Questionnaire!E196</f>
        <v>Architecture Content &amp; Deliverables Capability</v>
      </c>
      <c r="D195" s="33">
        <f>Questionnaire!D196</f>
        <v>4</v>
      </c>
    </row>
    <row r="196" spans="2:4" ht="15" hidden="1" thickBot="1" x14ac:dyDescent="0.35">
      <c r="B196" s="37"/>
      <c r="C196" s="34" t="str">
        <f>Questionnaire!E197</f>
        <v>Apporter de la valeur aux parties prenantes grâce à des livrables clairs et actionnables</v>
      </c>
      <c r="D196" s="34">
        <f>Questionnaire!D197</f>
        <v>0</v>
      </c>
    </row>
    <row r="197" spans="2:4" hidden="1" x14ac:dyDescent="0.3">
      <c r="B197" s="121" t="str">
        <f>VLOOKUP(C197,Recherche!$B$2:$E$226,4)</f>
        <v>7. Architecture Content &amp; Deliverables Capability</v>
      </c>
      <c r="C197" s="38" t="str">
        <f>Questionnaire!E198</f>
        <v>7Q1. Les livrables d’architecture (cartographies, modèles, roadmaps) sont-ils produits systématiquement ?</v>
      </c>
      <c r="D197" s="32">
        <f>Questionnaire!D198</f>
        <v>4</v>
      </c>
    </row>
    <row r="198" spans="2:4" hidden="1" x14ac:dyDescent="0.3">
      <c r="B198" s="119"/>
      <c r="C198" s="39" t="str">
        <f>Questionnaire!E199</f>
        <v>Aucun livrable d’architecture produit.</v>
      </c>
      <c r="D198" s="35" t="str">
        <f>Questionnaire!D199</f>
        <v/>
      </c>
    </row>
    <row r="199" spans="2:4" hidden="1" x14ac:dyDescent="0.3">
      <c r="B199" s="119"/>
      <c r="C199" s="39" t="str">
        <f>Questionnaire!E200</f>
        <v>Livrables ponctuels et limités à quelques projets.</v>
      </c>
      <c r="D199" s="35" t="str">
        <f>Questionnaire!D200</f>
        <v/>
      </c>
    </row>
    <row r="200" spans="2:4" hidden="1" x14ac:dyDescent="0.3">
      <c r="B200" s="119"/>
      <c r="C200" s="39" t="str">
        <f>Questionnaire!E201</f>
        <v>Livrables produits mais qualité et usage variables.</v>
      </c>
      <c r="D200" s="35" t="str">
        <f>Questionnaire!D201</f>
        <v/>
      </c>
    </row>
    <row r="201" spans="2:4" hidden="1" x14ac:dyDescent="0.3">
      <c r="B201" s="119"/>
      <c r="C201" s="39" t="str">
        <f>Questionnaire!E202</f>
        <v>Livrables produits systématiquement et réutilisables.</v>
      </c>
      <c r="D201" s="35">
        <f>Questionnaire!D202</f>
        <v>4</v>
      </c>
    </row>
    <row r="202" spans="2:4" hidden="1" x14ac:dyDescent="0.3">
      <c r="B202" s="119"/>
      <c r="C202" s="39" t="str">
        <f>Questionnaire!E203</f>
        <v>Livrables produits systématiquement, standardisés et automatisés.</v>
      </c>
      <c r="D202" s="35" t="str">
        <f>Questionnaire!D203</f>
        <v/>
      </c>
    </row>
    <row r="203" spans="2:4" hidden="1" x14ac:dyDescent="0.3">
      <c r="B203" s="119"/>
      <c r="C203" s="38" t="str">
        <f>Questionnaire!E204</f>
        <v>7Q2. Les livrables sont-ils compréhensibles et exploitables par les parties prenantes ?</v>
      </c>
      <c r="D203" s="32">
        <f>Questionnaire!D204</f>
        <v>4</v>
      </c>
    </row>
    <row r="204" spans="2:4" hidden="1" x14ac:dyDescent="0.3">
      <c r="B204" s="119"/>
      <c r="C204" s="39" t="str">
        <f>Questionnaire!E205</f>
        <v>Livrables inexistants ou inutilisables.</v>
      </c>
      <c r="D204" s="35" t="str">
        <f>Questionnaire!D205</f>
        <v/>
      </c>
    </row>
    <row r="205" spans="2:4" hidden="1" x14ac:dyDescent="0.3">
      <c r="B205" s="119"/>
      <c r="C205" s="39" t="str">
        <f>Questionnaire!E206</f>
        <v>Livrables peu clairs ou incomplets.</v>
      </c>
      <c r="D205" s="35" t="str">
        <f>Questionnaire!D206</f>
        <v/>
      </c>
    </row>
    <row r="206" spans="2:4" hidden="1" x14ac:dyDescent="0.3">
      <c r="B206" s="119"/>
      <c r="C206" s="39" t="str">
        <f>Questionnaire!E207</f>
        <v>Livrables compréhensibles mais perfectibles.</v>
      </c>
      <c r="D206" s="35" t="str">
        <f>Questionnaire!D207</f>
        <v/>
      </c>
    </row>
    <row r="207" spans="2:4" hidden="1" x14ac:dyDescent="0.3">
      <c r="B207" s="119"/>
      <c r="C207" s="39" t="str">
        <f>Questionnaire!E208</f>
        <v>Livrables clairs et adaptés aux besoins des parties prenantes.</v>
      </c>
      <c r="D207" s="35">
        <f>Questionnaire!D208</f>
        <v>4</v>
      </c>
    </row>
    <row r="208" spans="2:4" hidden="1" x14ac:dyDescent="0.3">
      <c r="B208" s="119"/>
      <c r="C208" s="39" t="str">
        <f>Questionnaire!E209</f>
        <v>Livrables exemplaires et adaptés à tous les usages.</v>
      </c>
      <c r="D208" s="35" t="str">
        <f>Questionnaire!D209</f>
        <v/>
      </c>
    </row>
    <row r="209" spans="2:4" hidden="1" x14ac:dyDescent="0.3">
      <c r="B209" s="119"/>
      <c r="C209" s="38" t="str">
        <f>Questionnaire!E210</f>
        <v>7Q3. Les livrables sont-ils tenus à jour et adaptés aux besoins des projets ?</v>
      </c>
      <c r="D209" s="32">
        <f>Questionnaire!D210</f>
        <v>4</v>
      </c>
    </row>
    <row r="210" spans="2:4" hidden="1" x14ac:dyDescent="0.3">
      <c r="B210" s="119"/>
      <c r="C210" s="39" t="str">
        <f>Questionnaire!E211</f>
        <v>Livrables obsolètes et non maintenus.</v>
      </c>
      <c r="D210" s="35" t="str">
        <f>Questionnaire!D211</f>
        <v/>
      </c>
    </row>
    <row r="211" spans="2:4" hidden="1" x14ac:dyDescent="0.3">
      <c r="B211" s="119"/>
      <c r="C211" s="39" t="str">
        <f>Questionnaire!E212</f>
        <v>Mises à jour irrégulières et manuelles.</v>
      </c>
      <c r="D211" s="35" t="str">
        <f>Questionnaire!D212</f>
        <v/>
      </c>
    </row>
    <row r="212" spans="2:4" hidden="1" x14ac:dyDescent="0.3">
      <c r="B212" s="119"/>
      <c r="C212" s="39" t="str">
        <f>Questionnaire!E213</f>
        <v>Mises à jour effectuées mais sans planification.</v>
      </c>
      <c r="D212" s="35" t="str">
        <f>Questionnaire!D213</f>
        <v/>
      </c>
    </row>
    <row r="213" spans="2:4" hidden="1" x14ac:dyDescent="0.3">
      <c r="B213" s="119"/>
      <c r="C213" s="39" t="str">
        <f>Questionnaire!E214</f>
        <v>Livrables mis à jour régulièrement.</v>
      </c>
      <c r="D213" s="35">
        <f>Questionnaire!D214</f>
        <v>4</v>
      </c>
    </row>
    <row r="214" spans="2:4" hidden="1" x14ac:dyDescent="0.3">
      <c r="B214" s="119"/>
      <c r="C214" s="39" t="str">
        <f>Questionnaire!E215</f>
        <v>Livrables mis à jour en temps réel.</v>
      </c>
      <c r="D214" s="35" t="str">
        <f>Questionnaire!D215</f>
        <v/>
      </c>
    </row>
    <row r="215" spans="2:4" hidden="1" x14ac:dyDescent="0.3">
      <c r="B215" s="119"/>
      <c r="C215" s="38" t="str">
        <f>Questionnaire!E216</f>
        <v>7Q4. Existe-t-il une bibliothèque ou un référentiel des livrables partagés ?</v>
      </c>
      <c r="D215" s="32">
        <f>Questionnaire!D216</f>
        <v>4</v>
      </c>
    </row>
    <row r="216" spans="2:4" hidden="1" x14ac:dyDescent="0.3">
      <c r="B216" s="119"/>
      <c r="C216" s="39" t="str">
        <f>Questionnaire!E217</f>
        <v>Aucun référentiel partagé.</v>
      </c>
      <c r="D216" s="35" t="str">
        <f>Questionnaire!D217</f>
        <v/>
      </c>
    </row>
    <row r="217" spans="2:4" hidden="1" x14ac:dyDescent="0.3">
      <c r="B217" s="119"/>
      <c r="C217" s="39" t="str">
        <f>Questionnaire!E218</f>
        <v>Référentiel partiel et non centralisé.</v>
      </c>
      <c r="D217" s="35" t="str">
        <f>Questionnaire!D218</f>
        <v/>
      </c>
    </row>
    <row r="218" spans="2:4" hidden="1" x14ac:dyDescent="0.3">
      <c r="B218" s="119"/>
      <c r="C218" s="39" t="str">
        <f>Questionnaire!E219</f>
        <v>Référentiel disponible mais peu utilisé.</v>
      </c>
      <c r="D218" s="35" t="str">
        <f>Questionnaire!D219</f>
        <v/>
      </c>
    </row>
    <row r="219" spans="2:4" hidden="1" x14ac:dyDescent="0.3">
      <c r="B219" s="119"/>
      <c r="C219" s="39" t="str">
        <f>Questionnaire!E220</f>
        <v>Référentiel partagé et exploité.</v>
      </c>
      <c r="D219" s="35">
        <f>Questionnaire!D220</f>
        <v>4</v>
      </c>
    </row>
    <row r="220" spans="2:4" hidden="1" x14ac:dyDescent="0.3">
      <c r="B220" s="119"/>
      <c r="C220" s="39" t="str">
        <f>Questionnaire!E221</f>
        <v>Référentiel collaboratif et totalement intégré.</v>
      </c>
      <c r="D220" s="35" t="str">
        <f>Questionnaire!D221</f>
        <v/>
      </c>
    </row>
    <row r="221" spans="2:4" hidden="1" x14ac:dyDescent="0.3">
      <c r="B221" s="119"/>
      <c r="C221" s="38" t="str">
        <f>Questionnaire!E222</f>
        <v>7Q5. Les livrables sont-ils intégrés dans les processus de gouvernance de l’entreprise ?</v>
      </c>
      <c r="D221" s="32">
        <f>Questionnaire!D222</f>
        <v>4</v>
      </c>
    </row>
    <row r="222" spans="2:4" hidden="1" x14ac:dyDescent="0.3">
      <c r="B222" s="119"/>
      <c r="C222" s="39" t="str">
        <f>Questionnaire!E223</f>
        <v>Livrables non intégrés aux processus.</v>
      </c>
      <c r="D222" s="35" t="str">
        <f>Questionnaire!D223</f>
        <v/>
      </c>
    </row>
    <row r="223" spans="2:4" hidden="1" x14ac:dyDescent="0.3">
      <c r="B223" s="119"/>
      <c r="C223" s="39" t="str">
        <f>Questionnaire!E224</f>
        <v>Intégration limitée dans certains projets pilotes.</v>
      </c>
      <c r="D223" s="35" t="str">
        <f>Questionnaire!D224</f>
        <v/>
      </c>
    </row>
    <row r="224" spans="2:4" hidden="1" x14ac:dyDescent="0.3">
      <c r="B224" s="119"/>
      <c r="C224" s="39" t="str">
        <f>Questionnaire!E225</f>
        <v>Intégration partielle aux processus.</v>
      </c>
      <c r="D224" s="35" t="str">
        <f>Questionnaire!D225</f>
        <v/>
      </c>
    </row>
    <row r="225" spans="2:4" hidden="1" x14ac:dyDescent="0.3">
      <c r="B225" s="119"/>
      <c r="C225" s="39" t="str">
        <f>Questionnaire!E226</f>
        <v>Livrables intégrés aux processus projets.</v>
      </c>
      <c r="D225" s="35">
        <f>Questionnaire!D226</f>
        <v>4</v>
      </c>
    </row>
    <row r="226" spans="2:4" ht="15" hidden="1" thickBot="1" x14ac:dyDescent="0.35">
      <c r="B226" s="120"/>
      <c r="C226" s="39" t="str">
        <f>Questionnaire!E227</f>
        <v>Livrables institutionnalisés dans tous les processus.</v>
      </c>
      <c r="D226" s="35" t="str">
        <f>Questionnaire!D227</f>
        <v/>
      </c>
    </row>
    <row r="227" spans="2:4" ht="18.600000000000001" thickBot="1" x14ac:dyDescent="0.4">
      <c r="B227" s="37"/>
      <c r="C227" s="33" t="str">
        <f>Questionnaire!E228</f>
        <v>Architecture Metrics Measurement Capability</v>
      </c>
      <c r="D227" s="108">
        <f>Questionnaire!D228</f>
        <v>2.2000000000000002</v>
      </c>
    </row>
    <row r="228" spans="2:4" ht="15" hidden="1" thickBot="1" x14ac:dyDescent="0.35">
      <c r="B228" s="37"/>
      <c r="C228" s="41" t="str">
        <f>Questionnaire!E229</f>
        <v>Piloter la performance de l’architecture et démontrer sa valeur</v>
      </c>
      <c r="D228" s="41">
        <f>Questionnaire!D229</f>
        <v>0</v>
      </c>
    </row>
    <row r="229" spans="2:4" ht="15" hidden="1" thickBot="1" x14ac:dyDescent="0.35">
      <c r="B229" s="122" t="str">
        <f>VLOOKUP(C229,Recherche!$B$2:$E$226,4)</f>
        <v>8. Architecture Metrics Measurement Capability</v>
      </c>
      <c r="C229" s="61" t="str">
        <f>Questionnaire!E230</f>
        <v>8Q1. Des indicateurs de performance pour l’architecture sont-ils définis et suivis ?</v>
      </c>
      <c r="D229" s="53">
        <f>Questionnaire!D230</f>
        <v>3</v>
      </c>
    </row>
    <row r="230" spans="2:4" ht="15" hidden="1" thickBot="1" x14ac:dyDescent="0.35">
      <c r="B230" s="119"/>
      <c r="C230" s="58" t="str">
        <f>Questionnaire!E231</f>
        <v>Aucun indicateur de performance défini.</v>
      </c>
      <c r="D230" s="59" t="str">
        <f>Questionnaire!D231</f>
        <v/>
      </c>
    </row>
    <row r="231" spans="2:4" ht="15" hidden="1" thickBot="1" x14ac:dyDescent="0.35">
      <c r="B231" s="122"/>
      <c r="C231" s="62" t="str">
        <f>Questionnaire!E232</f>
        <v>Indicateurs envisagés mais non déployés.</v>
      </c>
      <c r="D231" s="55" t="str">
        <f>Questionnaire!D232</f>
        <v/>
      </c>
    </row>
    <row r="232" spans="2:4" ht="15" hidden="1" thickBot="1" x14ac:dyDescent="0.35">
      <c r="B232" s="119"/>
      <c r="C232" s="60" t="str">
        <f>Questionnaire!E233</f>
        <v>Indicateurs définis mais usage limité.</v>
      </c>
      <c r="D232" s="44">
        <f>Questionnaire!D233</f>
        <v>3</v>
      </c>
    </row>
    <row r="233" spans="2:4" ht="15" hidden="1" thickBot="1" x14ac:dyDescent="0.35">
      <c r="B233" s="119"/>
      <c r="C233" s="39" t="str">
        <f>Questionnaire!E234</f>
        <v>Indicateurs définis et suivis régulièrement.</v>
      </c>
      <c r="D233" s="35" t="str">
        <f>Questionnaire!D234</f>
        <v/>
      </c>
    </row>
    <row r="234" spans="2:4" ht="15" hidden="1" thickBot="1" x14ac:dyDescent="0.35">
      <c r="B234" s="119"/>
      <c r="C234" s="57" t="str">
        <f>Questionnaire!E235</f>
        <v>Indicateurs intégrés dans la gouvernance stratégique.</v>
      </c>
      <c r="D234" s="40" t="str">
        <f>Questionnaire!D235</f>
        <v/>
      </c>
    </row>
    <row r="235" spans="2:4" ht="15" thickBot="1" x14ac:dyDescent="0.35">
      <c r="B235" s="122"/>
      <c r="C235" s="61" t="str">
        <f>Questionnaire!E236</f>
        <v>8Q2. Mesurez-vous la conformité aux principes et standards d’architecture ?</v>
      </c>
      <c r="D235" s="114">
        <f>Questionnaire!D236</f>
        <v>2</v>
      </c>
    </row>
    <row r="236" spans="2:4" ht="15" hidden="1" thickBot="1" x14ac:dyDescent="0.35">
      <c r="B236" s="119"/>
      <c r="C236" s="58" t="str">
        <f>Questionnaire!E237</f>
        <v>Aucune mesure de la conformité aux principes.</v>
      </c>
      <c r="D236" s="59" t="str">
        <f>Questionnaire!D237</f>
        <v/>
      </c>
    </row>
    <row r="237" spans="2:4" ht="15" thickBot="1" x14ac:dyDescent="0.35">
      <c r="B237" s="122"/>
      <c r="C237" s="62" t="str">
        <f>Questionnaire!E238</f>
        <v>Conformité mesurée de manière ponctuelle.</v>
      </c>
      <c r="D237" s="115">
        <f>Questionnaire!D238</f>
        <v>2</v>
      </c>
    </row>
    <row r="238" spans="2:4" hidden="1" x14ac:dyDescent="0.3">
      <c r="B238" s="119"/>
      <c r="C238" s="60" t="str">
        <f>Questionnaire!E239</f>
        <v>Conformité mesurée partiellement.</v>
      </c>
      <c r="D238" s="44" t="str">
        <f>Questionnaire!D239</f>
        <v/>
      </c>
    </row>
    <row r="239" spans="2:4" hidden="1" x14ac:dyDescent="0.3">
      <c r="B239" s="119"/>
      <c r="C239" s="39" t="str">
        <f>Questionnaire!E240</f>
        <v>Conformité contrôlée et pilotée.</v>
      </c>
      <c r="D239" s="35" t="str">
        <f>Questionnaire!D240</f>
        <v/>
      </c>
    </row>
    <row r="240" spans="2:4" hidden="1" x14ac:dyDescent="0.3">
      <c r="B240" s="119"/>
      <c r="C240" s="39" t="str">
        <f>Questionnaire!E241</f>
        <v>Conformité et impact mesurés en temps réel.</v>
      </c>
      <c r="D240" s="35" t="str">
        <f>Questionnaire!D241</f>
        <v/>
      </c>
    </row>
    <row r="241" spans="2:4" x14ac:dyDescent="0.3">
      <c r="B241" s="119"/>
      <c r="C241" s="38" t="str">
        <f>Questionnaire!E242</f>
        <v>8Q3. L’impact de l’architecture sur les projets est-il évalué régulièrement (valeur ajoutée, réutilisation, etc.) ?</v>
      </c>
      <c r="D241" s="109">
        <f>Questionnaire!D242</f>
        <v>2</v>
      </c>
    </row>
    <row r="242" spans="2:4" hidden="1" x14ac:dyDescent="0.3">
      <c r="B242" s="119"/>
      <c r="C242" s="39" t="str">
        <f>Questionnaire!E243</f>
        <v>Aucun suivi d’impact de l’architecture sur les projets.</v>
      </c>
      <c r="D242" s="35" t="str">
        <f>Questionnaire!D243</f>
        <v/>
      </c>
    </row>
    <row r="243" spans="2:4" x14ac:dyDescent="0.3">
      <c r="B243" s="119"/>
      <c r="C243" s="39" t="str">
        <f>Questionnaire!E244</f>
        <v>Impact évalué au cas par cas.</v>
      </c>
      <c r="D243" s="110">
        <f>Questionnaire!D244</f>
        <v>2</v>
      </c>
    </row>
    <row r="244" spans="2:4" hidden="1" x14ac:dyDescent="0.3">
      <c r="B244" s="119"/>
      <c r="C244" s="39" t="str">
        <f>Questionnaire!E245</f>
        <v>Impact évalué mais pas systématiquement.</v>
      </c>
      <c r="D244" s="35" t="str">
        <f>Questionnaire!D245</f>
        <v/>
      </c>
    </row>
    <row r="245" spans="2:4" hidden="1" x14ac:dyDescent="0.3">
      <c r="B245" s="119"/>
      <c r="C245" s="39" t="str">
        <f>Questionnaire!E246</f>
        <v>Impact évalué avec retour d’expérience.</v>
      </c>
      <c r="D245" s="35" t="str">
        <f>Questionnaire!D246</f>
        <v/>
      </c>
    </row>
    <row r="246" spans="2:4" hidden="1" x14ac:dyDescent="0.3">
      <c r="B246" s="119"/>
      <c r="C246" s="39" t="str">
        <f>Questionnaire!E247</f>
        <v>Impact de l’architecture quantifié et piloté.</v>
      </c>
      <c r="D246" s="35" t="str">
        <f>Questionnaire!D247</f>
        <v/>
      </c>
    </row>
    <row r="247" spans="2:4" x14ac:dyDescent="0.3">
      <c r="B247" s="119"/>
      <c r="C247" s="38" t="str">
        <f>Questionnaire!E248</f>
        <v>8Q4. Les résultats des indicateurs sont-ils partagés avec les parties prenantes ?</v>
      </c>
      <c r="D247" s="109">
        <f>Questionnaire!D248</f>
        <v>2</v>
      </c>
    </row>
    <row r="248" spans="2:4" hidden="1" x14ac:dyDescent="0.3">
      <c r="B248" s="119"/>
      <c r="C248" s="39" t="str">
        <f>Questionnaire!E249</f>
        <v>Aucun partage des résultats avec les parties prenantes.</v>
      </c>
      <c r="D248" s="35" t="str">
        <f>Questionnaire!D249</f>
        <v/>
      </c>
    </row>
    <row r="249" spans="2:4" x14ac:dyDescent="0.3">
      <c r="B249" s="119"/>
      <c r="C249" s="39" t="str">
        <f>Questionnaire!E250</f>
        <v>Résultats partagés de façon informelle.</v>
      </c>
      <c r="D249" s="110">
        <f>Questionnaire!D250</f>
        <v>2</v>
      </c>
    </row>
    <row r="250" spans="2:4" hidden="1" x14ac:dyDescent="0.3">
      <c r="B250" s="119"/>
      <c r="C250" s="39" t="str">
        <f>Questionnaire!E251</f>
        <v>Résultats partagés à certains acteurs seulement.</v>
      </c>
      <c r="D250" s="35" t="str">
        <f>Questionnaire!D251</f>
        <v/>
      </c>
    </row>
    <row r="251" spans="2:4" hidden="1" x14ac:dyDescent="0.3">
      <c r="B251" s="119"/>
      <c r="C251" s="39" t="str">
        <f>Questionnaire!E252</f>
        <v>Résultats partagés de façon transparente.</v>
      </c>
      <c r="D251" s="35" t="str">
        <f>Questionnaire!D252</f>
        <v/>
      </c>
    </row>
    <row r="252" spans="2:4" hidden="1" x14ac:dyDescent="0.3">
      <c r="B252" s="119"/>
      <c r="C252" s="39" t="str">
        <f>Questionnaire!E253</f>
        <v>Résultats partagés proactivement et valorisés.</v>
      </c>
      <c r="D252" s="35" t="str">
        <f>Questionnaire!D253</f>
        <v/>
      </c>
    </row>
    <row r="253" spans="2:4" x14ac:dyDescent="0.3">
      <c r="B253" s="119"/>
      <c r="C253" s="38" t="str">
        <f>Questionnaire!E254</f>
        <v>8Q5. Les métriques servent-elles à piloter l’amélioration continue des pratiques d’architecture ?</v>
      </c>
      <c r="D253" s="109">
        <f>Questionnaire!D254</f>
        <v>2</v>
      </c>
    </row>
    <row r="254" spans="2:4" hidden="1" x14ac:dyDescent="0.3">
      <c r="B254" s="119"/>
      <c r="C254" s="39" t="str">
        <f>Questionnaire!E255</f>
        <v>Aucune démarche d’amélioration continue basée sur des indicateurs.</v>
      </c>
      <c r="D254" s="35" t="str">
        <f>Questionnaire!D255</f>
        <v/>
      </c>
    </row>
    <row r="255" spans="2:4" ht="15" thickBot="1" x14ac:dyDescent="0.35">
      <c r="B255" s="119"/>
      <c r="C255" s="39" t="str">
        <f>Questionnaire!E256</f>
        <v>Démarche d’amélioration en réflexion seulement.</v>
      </c>
      <c r="D255" s="110">
        <f>Questionnaire!D256</f>
        <v>2</v>
      </c>
    </row>
    <row r="256" spans="2:4" hidden="1" x14ac:dyDescent="0.3">
      <c r="B256" s="119"/>
      <c r="C256" s="39" t="str">
        <f>Questionnaire!E257</f>
        <v>Amélioration ponctuelle des pratiques.</v>
      </c>
      <c r="D256" s="35" t="str">
        <f>Questionnaire!D257</f>
        <v/>
      </c>
    </row>
    <row r="257" spans="2:4" hidden="1" x14ac:dyDescent="0.3">
      <c r="B257" s="119"/>
      <c r="C257" s="39" t="str">
        <f>Questionnaire!E258</f>
        <v>Amélioration continue pilotée par les indicateurs.</v>
      </c>
      <c r="D257" s="35" t="str">
        <f>Questionnaire!D258</f>
        <v/>
      </c>
    </row>
    <row r="258" spans="2:4" ht="15" hidden="1" thickBot="1" x14ac:dyDescent="0.35">
      <c r="B258" s="120"/>
      <c r="C258" s="39" t="str">
        <f>Questionnaire!E259</f>
        <v>Amélioration continue institutionnalisée et mesurée.</v>
      </c>
      <c r="D258" s="35" t="str">
        <f>Questionnaire!D259</f>
        <v/>
      </c>
    </row>
    <row r="259" spans="2:4" ht="18" hidden="1" x14ac:dyDescent="0.35">
      <c r="B259" s="37"/>
      <c r="C259" s="33" t="str">
        <f>Questionnaire!E260</f>
        <v>Organisational Capability</v>
      </c>
      <c r="D259" s="33">
        <f>Questionnaire!D260</f>
        <v>3.4</v>
      </c>
    </row>
    <row r="260" spans="2:4" ht="15" hidden="1" thickBot="1" x14ac:dyDescent="0.35">
      <c r="B260" s="37"/>
      <c r="C260" s="34" t="str">
        <f>Questionnaire!E261</f>
        <v>La capacité de l’organisation à soutenir et institutionnaliser l’architecture d’entreprise dans sa gouvernance globale</v>
      </c>
      <c r="D260" s="34">
        <f>Questionnaire!D261</f>
        <v>0</v>
      </c>
    </row>
    <row r="261" spans="2:4" hidden="1" x14ac:dyDescent="0.3">
      <c r="B261" s="121" t="str">
        <f>VLOOKUP(C261,Recherche!$B$2:$E$226,4)</f>
        <v>9. Organisational Capability</v>
      </c>
      <c r="C261" s="38" t="str">
        <f>Questionnaire!E262</f>
        <v>9Q1. L’architecture est-elle reconnue comme une fonction stratégique par la direction ?</v>
      </c>
      <c r="D261" s="32">
        <f>Questionnaire!D262</f>
        <v>3</v>
      </c>
    </row>
    <row r="262" spans="2:4" hidden="1" x14ac:dyDescent="0.3">
      <c r="B262" s="119"/>
      <c r="C262" s="39" t="str">
        <f>Questionnaire!E263</f>
        <v>L’architecture est perçue comme une fonction isolée et non stratégique.</v>
      </c>
      <c r="D262" s="35" t="str">
        <f>Questionnaire!D263</f>
        <v/>
      </c>
    </row>
    <row r="263" spans="2:4" hidden="1" x14ac:dyDescent="0.3">
      <c r="B263" s="119"/>
      <c r="C263" s="39" t="str">
        <f>Questionnaire!E264</f>
        <v>Architecture reconnue ponctuellement mais sans ancrage stratégique.</v>
      </c>
      <c r="D263" s="35" t="str">
        <f>Questionnaire!D264</f>
        <v/>
      </c>
    </row>
    <row r="264" spans="2:4" hidden="1" x14ac:dyDescent="0.3">
      <c r="B264" s="119"/>
      <c r="C264" s="39" t="str">
        <f>Questionnaire!E265</f>
        <v>Architecture reconnue mais pas encore stratégique.</v>
      </c>
      <c r="D264" s="35">
        <f>Questionnaire!D265</f>
        <v>3</v>
      </c>
    </row>
    <row r="265" spans="2:4" hidden="1" x14ac:dyDescent="0.3">
      <c r="B265" s="119"/>
      <c r="C265" s="39" t="str">
        <f>Questionnaire!E266</f>
        <v>Architecture reconnue comme fonction stratégique.</v>
      </c>
      <c r="D265" s="35" t="str">
        <f>Questionnaire!D266</f>
        <v/>
      </c>
    </row>
    <row r="266" spans="2:4" hidden="1" x14ac:dyDescent="0.3">
      <c r="B266" s="119"/>
      <c r="C266" s="39" t="str">
        <f>Questionnaire!E267</f>
        <v>Architecture institutionnalisée et stratégique dans l’organisation.</v>
      </c>
      <c r="D266" s="35" t="str">
        <f>Questionnaire!D267</f>
        <v/>
      </c>
    </row>
    <row r="267" spans="2:4" hidden="1" x14ac:dyDescent="0.3">
      <c r="B267" s="119"/>
      <c r="C267" s="38" t="str">
        <f>Questionnaire!E268</f>
        <v>9Q2. L’architecture est-elle intégrée dans les processus de gouvernance des projets (comités, décisions, etc.) ?</v>
      </c>
      <c r="D267" s="32">
        <f>Questionnaire!D268</f>
        <v>4</v>
      </c>
    </row>
    <row r="268" spans="2:4" hidden="1" x14ac:dyDescent="0.3">
      <c r="B268" s="119"/>
      <c r="C268" s="39" t="str">
        <f>Questionnaire!E269</f>
        <v>Aucune intégration dans les processus projets.</v>
      </c>
      <c r="D268" s="35" t="str">
        <f>Questionnaire!D269</f>
        <v/>
      </c>
    </row>
    <row r="269" spans="2:4" hidden="1" x14ac:dyDescent="0.3">
      <c r="B269" s="119"/>
      <c r="C269" s="39" t="str">
        <f>Questionnaire!E270</f>
        <v>Intégration partielle dans certains projets.</v>
      </c>
      <c r="D269" s="35" t="str">
        <f>Questionnaire!D270</f>
        <v/>
      </c>
    </row>
    <row r="270" spans="2:4" hidden="1" x14ac:dyDescent="0.3">
      <c r="B270" s="119"/>
      <c r="C270" s="39" t="str">
        <f>Questionnaire!E271</f>
        <v>Intégration dans certains processus projets mais pas tous.</v>
      </c>
      <c r="D270" s="35" t="str">
        <f>Questionnaire!D271</f>
        <v/>
      </c>
    </row>
    <row r="271" spans="2:4" hidden="1" x14ac:dyDescent="0.3">
      <c r="B271" s="119"/>
      <c r="C271" s="39" t="str">
        <f>Questionnaire!E272</f>
        <v>Intégration systématique dans la gouvernance projets.</v>
      </c>
      <c r="D271" s="35">
        <f>Questionnaire!D272</f>
        <v>4</v>
      </c>
    </row>
    <row r="272" spans="2:4" hidden="1" x14ac:dyDescent="0.3">
      <c r="B272" s="119"/>
      <c r="C272" s="39" t="str">
        <f>Questionnaire!E273</f>
        <v>Intégration totale et systématique dans la gouvernance projets.</v>
      </c>
      <c r="D272" s="35" t="str">
        <f>Questionnaire!D273</f>
        <v/>
      </c>
    </row>
    <row r="273" spans="2:4" hidden="1" x14ac:dyDescent="0.3">
      <c r="B273" s="119"/>
      <c r="C273" s="38" t="str">
        <f>Questionnaire!E274</f>
        <v>9Q3. Les architectes sont-ils impliqués dès les phases amont des projets ?</v>
      </c>
      <c r="D273" s="32">
        <f>Questionnaire!D274</f>
        <v>4</v>
      </c>
    </row>
    <row r="274" spans="2:4" hidden="1" x14ac:dyDescent="0.3">
      <c r="B274" s="119"/>
      <c r="C274" s="39" t="str">
        <f>Questionnaire!E275</f>
        <v>Architectes consultés trop tardivement ou jamais.</v>
      </c>
      <c r="D274" s="35" t="str">
        <f>Questionnaire!D275</f>
        <v/>
      </c>
    </row>
    <row r="275" spans="2:4" hidden="1" x14ac:dyDescent="0.3">
      <c r="B275" s="119"/>
      <c r="C275" s="39" t="str">
        <f>Questionnaire!E276</f>
        <v>Architectes impliqués sur certains projets mais rarement en amont.</v>
      </c>
      <c r="D275" s="35" t="str">
        <f>Questionnaire!D276</f>
        <v/>
      </c>
    </row>
    <row r="276" spans="2:4" hidden="1" x14ac:dyDescent="0.3">
      <c r="B276" s="119"/>
      <c r="C276" s="39" t="str">
        <f>Questionnaire!E277</f>
        <v>Architectes impliqués plus régulièrement mais sans systématisme.</v>
      </c>
      <c r="D276" s="35" t="str">
        <f>Questionnaire!D277</f>
        <v/>
      </c>
    </row>
    <row r="277" spans="2:4" hidden="1" x14ac:dyDescent="0.3">
      <c r="B277" s="119"/>
      <c r="C277" s="39" t="str">
        <f>Questionnaire!E278</f>
        <v>Architectes impliqués dès les phases amont.</v>
      </c>
      <c r="D277" s="35">
        <f>Questionnaire!D278</f>
        <v>4</v>
      </c>
    </row>
    <row r="278" spans="2:4" hidden="1" x14ac:dyDescent="0.3">
      <c r="B278" s="119"/>
      <c r="C278" s="39" t="str">
        <f>Questionnaire!E279</f>
        <v>Architectes moteurs dès la conception stratégique.</v>
      </c>
      <c r="D278" s="35" t="str">
        <f>Questionnaire!D279</f>
        <v/>
      </c>
    </row>
    <row r="279" spans="2:4" hidden="1" x14ac:dyDescent="0.3">
      <c r="B279" s="119"/>
      <c r="C279" s="38" t="str">
        <f>Questionnaire!E280</f>
        <v>9Q4. L’architecture collabore-t-elle efficacement avec les autres fonctions clés (PMO, stratégie, sécurité, etc.) ?</v>
      </c>
      <c r="D279" s="32">
        <f>Questionnaire!D280</f>
        <v>4</v>
      </c>
    </row>
    <row r="280" spans="2:4" hidden="1" x14ac:dyDescent="0.3">
      <c r="B280" s="119"/>
      <c r="C280" s="39" t="str">
        <f>Questionnaire!E281</f>
        <v>Peu de collaboration avec les autres fonctions clés.</v>
      </c>
      <c r="D280" s="35" t="str">
        <f>Questionnaire!D281</f>
        <v/>
      </c>
    </row>
    <row r="281" spans="2:4" hidden="1" x14ac:dyDescent="0.3">
      <c r="B281" s="119"/>
      <c r="C281" s="39" t="str">
        <f>Questionnaire!E282</f>
        <v>Collaboration limitée et ponctuelle.</v>
      </c>
      <c r="D281" s="35" t="str">
        <f>Questionnaire!D282</f>
        <v/>
      </c>
    </row>
    <row r="282" spans="2:4" hidden="1" x14ac:dyDescent="0.3">
      <c r="B282" s="119"/>
      <c r="C282" s="39" t="str">
        <f>Questionnaire!E283</f>
        <v>Collaboration en développement avec les autres fonctions clés.</v>
      </c>
      <c r="D282" s="35" t="str">
        <f>Questionnaire!D283</f>
        <v/>
      </c>
    </row>
    <row r="283" spans="2:4" hidden="1" x14ac:dyDescent="0.3">
      <c r="B283" s="119"/>
      <c r="C283" s="39" t="str">
        <f>Questionnaire!E284</f>
        <v>Collaboration fluide avec les autres fonctions clés.</v>
      </c>
      <c r="D283" s="35">
        <f>Questionnaire!D284</f>
        <v>4</v>
      </c>
    </row>
    <row r="284" spans="2:4" hidden="1" x14ac:dyDescent="0.3">
      <c r="B284" s="119"/>
      <c r="C284" s="39" t="str">
        <f>Questionnaire!E285</f>
        <v>Collaboration proactive et permanente.</v>
      </c>
      <c r="D284" s="35" t="str">
        <f>Questionnaire!D285</f>
        <v/>
      </c>
    </row>
    <row r="285" spans="2:4" ht="15" thickBot="1" x14ac:dyDescent="0.35">
      <c r="B285" s="123"/>
      <c r="C285" s="38" t="str">
        <f>Questionnaire!E286</f>
        <v>9Q5. Les changements organisationnels prennent-ils systématiquement en compte les impacts sur l’architecture ?</v>
      </c>
      <c r="D285" s="109">
        <f>Questionnaire!D286</f>
        <v>2</v>
      </c>
    </row>
    <row r="286" spans="2:4" hidden="1" x14ac:dyDescent="0.3">
      <c r="B286" s="119"/>
      <c r="C286" s="39" t="str">
        <f>Questionnaire!E287</f>
        <v>Les changements organisationnels ignorent l’architecture.</v>
      </c>
      <c r="D286" s="35" t="str">
        <f>Questionnaire!D287</f>
        <v/>
      </c>
    </row>
    <row r="287" spans="2:4" ht="15" thickBot="1" x14ac:dyDescent="0.35">
      <c r="B287" s="123"/>
      <c r="C287" s="39" t="str">
        <f>Questionnaire!E288</f>
        <v>Changements organisationnels rarement synchronisés avec l’architecture.</v>
      </c>
      <c r="D287" s="110">
        <f>Questionnaire!D288</f>
        <v>2</v>
      </c>
    </row>
    <row r="288" spans="2:4" ht="15" hidden="1" thickBot="1" x14ac:dyDescent="0.35">
      <c r="B288" s="119"/>
      <c r="C288" s="39" t="str">
        <f>Questionnaire!E289</f>
        <v>Prise en compte progressive des impacts organisationnels.</v>
      </c>
      <c r="D288" s="35" t="str">
        <f>Questionnaire!D289</f>
        <v/>
      </c>
    </row>
    <row r="289" spans="2:4" ht="15" hidden="1" thickBot="1" x14ac:dyDescent="0.35">
      <c r="B289" s="119"/>
      <c r="C289" s="39" t="str">
        <f>Questionnaire!E290</f>
        <v>Changements organisationnels analysés pour les impacts sur l’architecture.</v>
      </c>
      <c r="D289" s="35" t="str">
        <f>Questionnaire!D290</f>
        <v/>
      </c>
    </row>
    <row r="290" spans="2:4" ht="15" hidden="1" thickBot="1" x14ac:dyDescent="0.35">
      <c r="B290" s="119"/>
      <c r="C290" s="57" t="str">
        <f>Questionnaire!E291</f>
        <v>Changements organisationnels systématiquement synchronisés avec l’architecture.</v>
      </c>
      <c r="D290" s="40" t="str">
        <f>Questionnaire!D291</f>
        <v/>
      </c>
    </row>
    <row r="291" spans="2:4" ht="15" thickBot="1" x14ac:dyDescent="0.35">
      <c r="B291" s="46"/>
      <c r="C291" s="56"/>
      <c r="D291" s="48"/>
    </row>
  </sheetData>
  <autoFilter ref="C2:D290" xr:uid="{6E08A4C5-1378-4367-B75B-0052442DD9FE}">
    <filterColumn colId="1">
      <customFilters and="1">
        <customFilter operator="greaterThanOrEqual" val="2"/>
        <customFilter operator="lessThan" val="3"/>
      </customFilters>
    </filterColumn>
  </autoFilter>
  <mergeCells count="9">
    <mergeCell ref="B197:B226"/>
    <mergeCell ref="B229:B258"/>
    <mergeCell ref="B261:B290"/>
    <mergeCell ref="B5:B34"/>
    <mergeCell ref="B37:B66"/>
    <mergeCell ref="B69:B98"/>
    <mergeCell ref="B101:B130"/>
    <mergeCell ref="B133:B162"/>
    <mergeCell ref="B165:B19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D3D7-E214-4DB8-9ED4-3E81DBFC85AE}">
  <sheetPr filterMode="1"/>
  <dimension ref="B1:D291"/>
  <sheetViews>
    <sheetView showGridLines="0" workbookViewId="0">
      <selection activeCell="B1" sqref="B1"/>
    </sheetView>
  </sheetViews>
  <sheetFormatPr baseColWidth="10" defaultColWidth="11.44140625" defaultRowHeight="14.4" x14ac:dyDescent="0.3"/>
  <cols>
    <col min="2" max="2" width="45.6640625" customWidth="1"/>
    <col min="3" max="3" width="107.33203125" customWidth="1"/>
    <col min="4" max="4" width="11.5546875" style="7" customWidth="1"/>
  </cols>
  <sheetData>
    <row r="1" spans="2:4" ht="15" thickBot="1" x14ac:dyDescent="0.35"/>
    <row r="2" spans="2:4" ht="21.6" thickBot="1" x14ac:dyDescent="0.45">
      <c r="B2" s="46"/>
      <c r="C2" s="47" t="s">
        <v>307</v>
      </c>
      <c r="D2" s="48" t="s">
        <v>2</v>
      </c>
    </row>
    <row r="3" spans="2:4" ht="18.600000000000001" thickBot="1" x14ac:dyDescent="0.35">
      <c r="C3" s="42" t="str">
        <f>Questionnaire!E4</f>
        <v>Architecture Governance Capability</v>
      </c>
      <c r="D3" s="116">
        <f>Questionnaire!D4</f>
        <v>3.6</v>
      </c>
    </row>
    <row r="4" spans="2:4" ht="15" hidden="1" thickBot="1" x14ac:dyDescent="0.35">
      <c r="C4" s="31" t="str">
        <f>Questionnaire!E5</f>
        <v>Assurer la cohérence des transformations et limiter les dérives</v>
      </c>
      <c r="D4" s="31">
        <f>Questionnaire!D5</f>
        <v>0</v>
      </c>
    </row>
    <row r="5" spans="2:4" hidden="1" x14ac:dyDescent="0.3">
      <c r="B5" s="121" t="str">
        <f>VLOOKUP(C5,Recherche!$B$2:$E$226,4)</f>
        <v>1. Architecture Governance Capability</v>
      </c>
      <c r="C5" s="32" t="str">
        <f>Questionnaire!E6</f>
        <v>1Q1. Existe-t-il une gouvernance d’architecture clairement définie (comité d’architecture, processus de validation, etc.) ?</v>
      </c>
      <c r="D5" s="32">
        <f>Questionnaire!D6</f>
        <v>2</v>
      </c>
    </row>
    <row r="6" spans="2:4" hidden="1" x14ac:dyDescent="0.3">
      <c r="B6" s="119"/>
      <c r="C6" s="35" t="str">
        <f>Questionnaire!E7</f>
        <v>Aucun comité d’architecture ni processus formel ; décisions au cas par cas.</v>
      </c>
      <c r="D6" s="35" t="str">
        <f>Questionnaire!D7</f>
        <v/>
      </c>
    </row>
    <row r="7" spans="2:4" hidden="1" x14ac:dyDescent="0.3">
      <c r="B7" s="119"/>
      <c r="C7" s="35" t="str">
        <f>Questionnaire!E8</f>
        <v>Un comité est envisagé mais pas encore actif ; peu de formalisation.</v>
      </c>
      <c r="D7" s="35">
        <f>Questionnaire!D8</f>
        <v>2</v>
      </c>
    </row>
    <row r="8" spans="2:4" hidden="1" x14ac:dyDescent="0.3">
      <c r="B8" s="119"/>
      <c r="C8" s="35" t="str">
        <f>Questionnaire!E9</f>
        <v>Comité existant avec rôles flous et gouvernance immature.</v>
      </c>
      <c r="D8" s="35" t="str">
        <f>Questionnaire!D9</f>
        <v/>
      </c>
    </row>
    <row r="9" spans="2:4" hidden="1" x14ac:dyDescent="0.3">
      <c r="B9" s="119"/>
      <c r="C9" s="35" t="str">
        <f>Questionnaire!E10</f>
        <v>Comité d’architecture bien défini, processus documenté et suivi.</v>
      </c>
      <c r="D9" s="35" t="str">
        <f>Questionnaire!D10</f>
        <v/>
      </c>
    </row>
    <row r="10" spans="2:4" hidden="1" x14ac:dyDescent="0.3">
      <c r="B10" s="119"/>
      <c r="C10" s="35" t="str">
        <f>Questionnaire!E11</f>
        <v>Gouvernance totalement intégrée et pilotée de façon stratégique.</v>
      </c>
      <c r="D10" s="35" t="str">
        <f>Questionnaire!D11</f>
        <v/>
      </c>
    </row>
    <row r="11" spans="2:4" hidden="1" x14ac:dyDescent="0.3">
      <c r="B11" s="119"/>
      <c r="C11" s="32" t="str">
        <f>Questionnaire!E12</f>
        <v>1Q2. Les principes et standards d’architecture sont-ils documentés et appliqués de façon cohérente ?</v>
      </c>
      <c r="D11" s="32">
        <f>Questionnaire!D12</f>
        <v>4</v>
      </c>
    </row>
    <row r="12" spans="2:4" hidden="1" x14ac:dyDescent="0.3">
      <c r="B12" s="119"/>
      <c r="C12" s="35" t="str">
        <f>Questionnaire!E13</f>
        <v>Aucun principe ni standard défini.</v>
      </c>
      <c r="D12" s="35" t="str">
        <f>Questionnaire!D13</f>
        <v/>
      </c>
    </row>
    <row r="13" spans="2:4" hidden="1" x14ac:dyDescent="0.3">
      <c r="B13" s="119"/>
      <c r="C13" s="35" t="str">
        <f>Questionnaire!E14</f>
        <v>Principes en cours de rédaction, non appliqués systématiquement.</v>
      </c>
      <c r="D13" s="35" t="str">
        <f>Questionnaire!D14</f>
        <v/>
      </c>
    </row>
    <row r="14" spans="2:4" hidden="1" x14ac:dyDescent="0.3">
      <c r="B14" s="119"/>
      <c r="C14" s="35" t="str">
        <f>Questionnaire!E15</f>
        <v>Principes définis mais appliqués de façon variable.</v>
      </c>
      <c r="D14" s="35" t="str">
        <f>Questionnaire!D15</f>
        <v/>
      </c>
    </row>
    <row r="15" spans="2:4" hidden="1" x14ac:dyDescent="0.3">
      <c r="B15" s="119"/>
      <c r="C15" s="35" t="str">
        <f>Questionnaire!E16</f>
        <v>Principes formalisés, communiqués et appliqués régulièrement.</v>
      </c>
      <c r="D15" s="35">
        <f>Questionnaire!D16</f>
        <v>4</v>
      </c>
    </row>
    <row r="16" spans="2:4" hidden="1" x14ac:dyDescent="0.3">
      <c r="B16" s="119"/>
      <c r="C16" s="35" t="str">
        <f>Questionnaire!E17</f>
        <v>Principes intégrés aux processus projets, suivis et améliorés.</v>
      </c>
      <c r="D16" s="35" t="str">
        <f>Questionnaire!D17</f>
        <v/>
      </c>
    </row>
    <row r="17" spans="2:4" x14ac:dyDescent="0.3">
      <c r="B17" s="119"/>
      <c r="C17" s="32" t="str">
        <f>Questionnaire!E18</f>
        <v>1Q3. Les dérogations ou exceptions sont-elles formellement gérées et suivies ?</v>
      </c>
      <c r="D17" s="109">
        <f>Questionnaire!D18</f>
        <v>3</v>
      </c>
    </row>
    <row r="18" spans="2:4" hidden="1" x14ac:dyDescent="0.3">
      <c r="B18" s="119"/>
      <c r="C18" s="35" t="str">
        <f>Questionnaire!E19</f>
        <v>Aucune gestion des dérogations.</v>
      </c>
      <c r="D18" s="35" t="str">
        <f>Questionnaire!D19</f>
        <v/>
      </c>
    </row>
    <row r="19" spans="2:4" hidden="1" x14ac:dyDescent="0.3">
      <c r="B19" s="119"/>
      <c r="C19" s="35" t="str">
        <f>Questionnaire!E20</f>
        <v>Gestion informelle des dérogations au cas par cas.</v>
      </c>
      <c r="D19" s="35" t="str">
        <f>Questionnaire!D20</f>
        <v/>
      </c>
    </row>
    <row r="20" spans="2:4" ht="15" thickBot="1" x14ac:dyDescent="0.35">
      <c r="B20" s="119"/>
      <c r="C20" s="35" t="str">
        <f>Questionnaire!E21</f>
        <v>Processus partiellement défini, dérogations tracées mais analyse incomplète.</v>
      </c>
      <c r="D20" s="110">
        <f>Questionnaire!D21</f>
        <v>3</v>
      </c>
    </row>
    <row r="21" spans="2:4" ht="15" hidden="1" thickBot="1" x14ac:dyDescent="0.35">
      <c r="B21" s="119"/>
      <c r="C21" s="35" t="str">
        <f>Questionnaire!E22</f>
        <v>Processus formalisé, dérogations documentées et analysées.</v>
      </c>
      <c r="D21" s="35" t="str">
        <f>Questionnaire!D22</f>
        <v/>
      </c>
    </row>
    <row r="22" spans="2:4" ht="15" hidden="1" thickBot="1" x14ac:dyDescent="0.35">
      <c r="B22" s="119"/>
      <c r="C22" s="35" t="str">
        <f>Questionnaire!E23</f>
        <v>Gestion des dérogations intégrée et optimisée, avec reporting.</v>
      </c>
      <c r="D22" s="35" t="str">
        <f>Questionnaire!D23</f>
        <v/>
      </c>
    </row>
    <row r="23" spans="2:4" ht="15" hidden="1" thickBot="1" x14ac:dyDescent="0.35">
      <c r="B23" s="119"/>
      <c r="C23" s="32" t="str">
        <f>Questionnaire!E24</f>
        <v>1Q4. Les décisions d’architecture sont-elles prises de manière transparente et tracées ?</v>
      </c>
      <c r="D23" s="32">
        <f>Questionnaire!D24</f>
        <v>5</v>
      </c>
    </row>
    <row r="24" spans="2:4" ht="15" hidden="1" thickBot="1" x14ac:dyDescent="0.35">
      <c r="B24" s="119"/>
      <c r="C24" s="35" t="str">
        <f>Questionnaire!E25</f>
        <v>Décisions prises de manière ad hoc et non documentées.</v>
      </c>
      <c r="D24" s="35" t="str">
        <f>Questionnaire!D25</f>
        <v/>
      </c>
    </row>
    <row r="25" spans="2:4" ht="15" hidden="1" thickBot="1" x14ac:dyDescent="0.35">
      <c r="B25" s="119"/>
      <c r="C25" s="35" t="str">
        <f>Questionnaire!E26</f>
        <v>Certaines décisions sont documentées mais la traçabilité est limitée.</v>
      </c>
      <c r="D25" s="35" t="str">
        <f>Questionnaire!D26</f>
        <v/>
      </c>
    </row>
    <row r="26" spans="2:4" ht="15" hidden="1" thickBot="1" x14ac:dyDescent="0.35">
      <c r="B26" s="119"/>
      <c r="C26" s="35" t="str">
        <f>Questionnaire!E27</f>
        <v>Décisions tracées mais manque de communication.</v>
      </c>
      <c r="D26" s="35" t="str">
        <f>Questionnaire!D27</f>
        <v/>
      </c>
    </row>
    <row r="27" spans="2:4" ht="15" hidden="1" thickBot="1" x14ac:dyDescent="0.35">
      <c r="B27" s="119"/>
      <c r="C27" s="35" t="str">
        <f>Questionnaire!E28</f>
        <v>Décisions documentées, tracées et communiquées.</v>
      </c>
      <c r="D27" s="35" t="str">
        <f>Questionnaire!D28</f>
        <v/>
      </c>
    </row>
    <row r="28" spans="2:4" ht="15" hidden="1" thickBot="1" x14ac:dyDescent="0.35">
      <c r="B28" s="119"/>
      <c r="C28" s="35" t="str">
        <f>Questionnaire!E29</f>
        <v>Décisions tracées et disponibles via outil/référentiel.</v>
      </c>
      <c r="D28" s="35">
        <f>Questionnaire!D29</f>
        <v>5</v>
      </c>
    </row>
    <row r="29" spans="2:4" ht="15" hidden="1" thickBot="1" x14ac:dyDescent="0.35">
      <c r="B29" s="119"/>
      <c r="C29" s="32" t="str">
        <f>Questionnaire!E30</f>
        <v>1Q5. Les parties prenantes (métiers et IT) participent-elles aux décisions d’architecture ?</v>
      </c>
      <c r="D29" s="32">
        <f>Questionnaire!D30</f>
        <v>4</v>
      </c>
    </row>
    <row r="30" spans="2:4" ht="15" hidden="1" thickBot="1" x14ac:dyDescent="0.35">
      <c r="B30" s="119"/>
      <c r="C30" s="35" t="str">
        <f>Questionnaire!E31</f>
        <v>Aucune implication des parties prenantes.</v>
      </c>
      <c r="D30" s="35" t="str">
        <f>Questionnaire!D31</f>
        <v/>
      </c>
    </row>
    <row r="31" spans="2:4" ht="15" hidden="1" thickBot="1" x14ac:dyDescent="0.35">
      <c r="B31" s="119"/>
      <c r="C31" s="35" t="str">
        <f>Questionnaire!E32</f>
        <v>Consultation ponctuelle des parties prenantes.</v>
      </c>
      <c r="D31" s="35" t="str">
        <f>Questionnaire!D32</f>
        <v/>
      </c>
    </row>
    <row r="32" spans="2:4" ht="15" hidden="1" thickBot="1" x14ac:dyDescent="0.35">
      <c r="B32" s="119"/>
      <c r="C32" s="35" t="str">
        <f>Questionnaire!E33</f>
        <v>Parties prenantes consultées mais peu impliquées.</v>
      </c>
      <c r="D32" s="35" t="str">
        <f>Questionnaire!D33</f>
        <v/>
      </c>
    </row>
    <row r="33" spans="2:4" ht="15" hidden="1" thickBot="1" x14ac:dyDescent="0.35">
      <c r="B33" s="119"/>
      <c r="C33" s="35" t="str">
        <f>Questionnaire!E34</f>
        <v>Participation active des parties prenantes aux décisions importantes.</v>
      </c>
      <c r="D33" s="35">
        <f>Questionnaire!D34</f>
        <v>4</v>
      </c>
    </row>
    <row r="34" spans="2:4" ht="15" hidden="1" thickBot="1" x14ac:dyDescent="0.35">
      <c r="B34" s="119"/>
      <c r="C34" s="40" t="str">
        <f>Questionnaire!E35</f>
        <v>Parties prenantes impliquées systématiquement et proactivement.</v>
      </c>
      <c r="D34" s="40" t="str">
        <f>Questionnaire!D35</f>
        <v/>
      </c>
    </row>
    <row r="35" spans="2:4" ht="18.600000000000001" thickBot="1" x14ac:dyDescent="0.4">
      <c r="B35" s="49"/>
      <c r="C35" s="50" t="str">
        <f>Questionnaire!E36</f>
        <v>Architecture Practice Process Method Capability</v>
      </c>
      <c r="D35" s="111">
        <f>Questionnaire!D36</f>
        <v>3</v>
      </c>
    </row>
    <row r="36" spans="2:4" ht="15" hidden="1" thickBot="1" x14ac:dyDescent="0.35">
      <c r="B36" s="37"/>
      <c r="C36" s="43" t="str">
        <f>Questionnaire!E37</f>
        <v>Standardiser les pratiques pour produire des résultats reproductibles et cohérents</v>
      </c>
      <c r="D36" s="43">
        <f>Questionnaire!D37</f>
        <v>0</v>
      </c>
    </row>
    <row r="37" spans="2:4" ht="15" hidden="1" thickBot="1" x14ac:dyDescent="0.35">
      <c r="B37" s="122" t="str">
        <f>VLOOKUP(C37,Recherche!$B$2:$E$226,4)</f>
        <v>2. Architecture Practice Process Method Capability</v>
      </c>
      <c r="C37" s="52" t="str">
        <f>Questionnaire!E38</f>
        <v>2Q1. Une méthodologie d’architecture (TOGAF, Zachman ou autre) est-elle adoptée et adaptée au contexte ?</v>
      </c>
      <c r="D37" s="53">
        <f>Questionnaire!D38</f>
        <v>2</v>
      </c>
    </row>
    <row r="38" spans="2:4" ht="15" hidden="1" thickBot="1" x14ac:dyDescent="0.35">
      <c r="B38" s="119"/>
      <c r="C38" s="44" t="str">
        <f>Questionnaire!E39</f>
        <v>Aucune méthodologie formelle d’architecture n’a été identifiée ou utilisée.</v>
      </c>
      <c r="D38" s="44" t="str">
        <f>Questionnaire!D39</f>
        <v/>
      </c>
    </row>
    <row r="39" spans="2:4" ht="15" hidden="1" thickBot="1" x14ac:dyDescent="0.35">
      <c r="B39" s="119"/>
      <c r="C39" s="40" t="str">
        <f>Questionnaire!E40</f>
        <v>Une méthodologie est envisagée mais pas encore formalisée ; quelques architectes l’appliquent ponctuellement.</v>
      </c>
      <c r="D39" s="40">
        <f>Questionnaire!D40</f>
        <v>2</v>
      </c>
    </row>
    <row r="40" spans="2:4" ht="15" hidden="1" thickBot="1" x14ac:dyDescent="0.35">
      <c r="B40" s="122"/>
      <c r="C40" s="54" t="str">
        <f>Questionnaire!E41</f>
        <v>Une méthodologie est définie mais son application varie d’un projet à l’autre, sans standardisation.</v>
      </c>
      <c r="D40" s="55" t="str">
        <f>Questionnaire!D41</f>
        <v/>
      </c>
    </row>
    <row r="41" spans="2:4" ht="15" hidden="1" thickBot="1" x14ac:dyDescent="0.35">
      <c r="B41" s="119"/>
      <c r="C41" s="44" t="str">
        <f>Questionnaire!E42</f>
        <v>Une méthodologie est adoptée, adaptée au contexte, et utilisée régulièrement sur la plupart des projets.</v>
      </c>
      <c r="D41" s="44" t="str">
        <f>Questionnaire!D42</f>
        <v/>
      </c>
    </row>
    <row r="42" spans="2:4" ht="15" hidden="1" thickBot="1" x14ac:dyDescent="0.35">
      <c r="B42" s="119"/>
      <c r="C42" s="40" t="str">
        <f>Questionnaire!E43</f>
        <v>La méthodologie est totalement intégrée, adaptée en continu, et soutenue par des formations et des guides pratiques.</v>
      </c>
      <c r="D42" s="40" t="str">
        <f>Questionnaire!D43</f>
        <v/>
      </c>
    </row>
    <row r="43" spans="2:4" ht="15" thickBot="1" x14ac:dyDescent="0.35">
      <c r="B43" s="122"/>
      <c r="C43" s="52" t="str">
        <f>Questionnaire!E44</f>
        <v>2Q2. Les étapes et les livrables du processus d’architecture sont-ils clairement définis ?</v>
      </c>
      <c r="D43" s="114">
        <f>Questionnaire!D44</f>
        <v>3</v>
      </c>
    </row>
    <row r="44" spans="2:4" ht="15" hidden="1" thickBot="1" x14ac:dyDescent="0.35">
      <c r="B44" s="119"/>
      <c r="C44" s="44" t="str">
        <f>Questionnaire!E45</f>
        <v>Aucun processus ni livrable défini. Chaque architecte fait selon ses habitudes.</v>
      </c>
      <c r="D44" s="44" t="str">
        <f>Questionnaire!D45</f>
        <v/>
      </c>
    </row>
    <row r="45" spans="2:4" ht="15" hidden="1" thickBot="1" x14ac:dyDescent="0.35">
      <c r="B45" s="119"/>
      <c r="C45" s="40" t="str">
        <f>Questionnaire!E46</f>
        <v>Quelques livrables sont définis mais pas alignés avec un processus structuré.</v>
      </c>
      <c r="D45" s="40" t="str">
        <f>Questionnaire!D46</f>
        <v/>
      </c>
    </row>
    <row r="46" spans="2:4" ht="15" thickBot="1" x14ac:dyDescent="0.35">
      <c r="B46" s="122"/>
      <c r="C46" s="54" t="str">
        <f>Questionnaire!E47</f>
        <v>Les étapes et les livrables sont définis mais pas systématiquement appliqués.</v>
      </c>
      <c r="D46" s="115">
        <f>Questionnaire!D47</f>
        <v>3</v>
      </c>
    </row>
    <row r="47" spans="2:4" ht="15" hidden="1" thickBot="1" x14ac:dyDescent="0.35">
      <c r="B47" s="119"/>
      <c r="C47" s="44" t="str">
        <f>Questionnaire!E48</f>
        <v>Les étapes et les livrables sont définis, normalisés et connus des équipes.</v>
      </c>
      <c r="D47" s="44" t="str">
        <f>Questionnaire!D48</f>
        <v/>
      </c>
    </row>
    <row r="48" spans="2:4" ht="15" hidden="1" thickBot="1" x14ac:dyDescent="0.35">
      <c r="B48" s="119"/>
      <c r="C48" s="40" t="str">
        <f>Questionnaire!E49</f>
        <v>Les étapes et les livrables sont standardisés, adaptés selon le contexte projet et audités régulièrement.</v>
      </c>
      <c r="D48" s="40" t="str">
        <f>Questionnaire!D49</f>
        <v/>
      </c>
    </row>
    <row r="49" spans="2:4" ht="15" hidden="1" thickBot="1" x14ac:dyDescent="0.35">
      <c r="B49" s="122"/>
      <c r="C49" s="52" t="str">
        <f>Questionnaire!E50</f>
        <v>2Q3. Les architectes appliquent-ils systématiquement la méthodologie définie ?</v>
      </c>
      <c r="D49" s="53">
        <f>Questionnaire!D50</f>
        <v>4</v>
      </c>
    </row>
    <row r="50" spans="2:4" ht="15" hidden="1" thickBot="1" x14ac:dyDescent="0.35">
      <c r="B50" s="119"/>
      <c r="C50" s="44" t="str">
        <f>Questionnaire!E51</f>
        <v>La méthodologie est rarement ou jamais appliquée.</v>
      </c>
      <c r="D50" s="44" t="str">
        <f>Questionnaire!D51</f>
        <v/>
      </c>
    </row>
    <row r="51" spans="2:4" ht="15" hidden="1" thickBot="1" x14ac:dyDescent="0.35">
      <c r="B51" s="119"/>
      <c r="C51" s="40" t="str">
        <f>Questionnaire!E52</f>
        <v>Application occasionnelle selon les projets ou les préférences individuelles.</v>
      </c>
      <c r="D51" s="40" t="str">
        <f>Questionnaire!D52</f>
        <v/>
      </c>
    </row>
    <row r="52" spans="2:4" ht="15" hidden="1" thickBot="1" x14ac:dyDescent="0.35">
      <c r="B52" s="122"/>
      <c r="C52" s="54" t="str">
        <f>Questionnaire!E53</f>
        <v>Application partielle, sans réelle homogénéité entre les projets.</v>
      </c>
      <c r="D52" s="55" t="str">
        <f>Questionnaire!D53</f>
        <v/>
      </c>
    </row>
    <row r="53" spans="2:4" ht="15" hidden="1" thickBot="1" x14ac:dyDescent="0.35">
      <c r="B53" s="119"/>
      <c r="C53" s="44" t="str">
        <f>Questionnaire!E54</f>
        <v>Méthodologie appliquée de façon cohérente par la plupart des architectes.</v>
      </c>
      <c r="D53" s="44">
        <f>Questionnaire!D54</f>
        <v>4</v>
      </c>
    </row>
    <row r="54" spans="2:4" ht="15" hidden="1" thickBot="1" x14ac:dyDescent="0.35">
      <c r="B54" s="119"/>
      <c r="C54" s="40" t="str">
        <f>Questionnaire!E55</f>
        <v>Méthodologie appliquée systématiquement, avec contrôle qualité et amélioration continue.</v>
      </c>
      <c r="D54" s="40" t="str">
        <f>Questionnaire!D55</f>
        <v/>
      </c>
    </row>
    <row r="55" spans="2:4" ht="15" hidden="1" thickBot="1" x14ac:dyDescent="0.35">
      <c r="B55" s="122"/>
      <c r="C55" s="52" t="str">
        <f>Questionnaire!E56</f>
        <v>2Q4. Les parties prenantes connaissent-elles et comprennent-elles le processus d’architecture ?</v>
      </c>
      <c r="D55" s="53">
        <f>Questionnaire!D56</f>
        <v>4</v>
      </c>
    </row>
    <row r="56" spans="2:4" ht="15" hidden="1" thickBot="1" x14ac:dyDescent="0.35">
      <c r="B56" s="119"/>
      <c r="C56" s="44" t="str">
        <f>Questionnaire!E57</f>
        <v>Les parties prenantes ne sont pas informées de l’existence d’un processus d’architecture.</v>
      </c>
      <c r="D56" s="44" t="str">
        <f>Questionnaire!D57</f>
        <v/>
      </c>
    </row>
    <row r="57" spans="2:4" ht="15" hidden="1" thickBot="1" x14ac:dyDescent="0.35">
      <c r="B57" s="119"/>
      <c r="C57" s="40" t="str">
        <f>Questionnaire!E58</f>
        <v>Communication ponctuelle, limitée à quelques projets pilotes.</v>
      </c>
      <c r="D57" s="40" t="str">
        <f>Questionnaire!D58</f>
        <v/>
      </c>
    </row>
    <row r="58" spans="2:4" ht="15" hidden="1" thickBot="1" x14ac:dyDescent="0.35">
      <c r="B58" s="122"/>
      <c r="C58" s="54" t="str">
        <f>Questionnaire!E59</f>
        <v>Communication existante mais compréhension inégale parmi les parties prenantes.</v>
      </c>
      <c r="D58" s="55" t="str">
        <f>Questionnaire!D59</f>
        <v/>
      </c>
    </row>
    <row r="59" spans="2:4" ht="15" hidden="1" thickBot="1" x14ac:dyDescent="0.35">
      <c r="B59" s="119"/>
      <c r="C59" s="44" t="str">
        <f>Questionnaire!E60</f>
        <v>Parties prenantes informées et impliquées, comprennent les principales étapes du processus.</v>
      </c>
      <c r="D59" s="44">
        <f>Questionnaire!D60</f>
        <v>4</v>
      </c>
    </row>
    <row r="60" spans="2:4" ht="15" hidden="1" thickBot="1" x14ac:dyDescent="0.35">
      <c r="B60" s="119"/>
      <c r="C60" s="40" t="str">
        <f>Questionnaire!E61</f>
        <v>Parties prenantes engagées et collaboratives, capables de contribuer activement au processus.</v>
      </c>
      <c r="D60" s="40" t="str">
        <f>Questionnaire!D61</f>
        <v/>
      </c>
    </row>
    <row r="61" spans="2:4" ht="15" hidden="1" thickBot="1" x14ac:dyDescent="0.35">
      <c r="B61" s="122"/>
      <c r="C61" s="52" t="str">
        <f>Questionnaire!E62</f>
        <v>2Q5. Le processus d’architecture est-il revu et amélioré régulièrement ?</v>
      </c>
      <c r="D61" s="53">
        <f>Questionnaire!D62</f>
        <v>2</v>
      </c>
    </row>
    <row r="62" spans="2:4" ht="15" hidden="1" thickBot="1" x14ac:dyDescent="0.35">
      <c r="B62" s="119"/>
      <c r="C62" s="44" t="str">
        <f>Questionnaire!E63</f>
        <v>Aucun processus de revue ou d’amélioration n’est en place.</v>
      </c>
      <c r="D62" s="44" t="str">
        <f>Questionnaire!D63</f>
        <v/>
      </c>
    </row>
    <row r="63" spans="2:4" ht="15" hidden="1" thickBot="1" x14ac:dyDescent="0.35">
      <c r="B63" s="119"/>
      <c r="C63" s="40" t="str">
        <f>Questionnaire!E64</f>
        <v>Réflexion en cours pour améliorer le processus mais sans mise en œuvre concrète.</v>
      </c>
      <c r="D63" s="40">
        <f>Questionnaire!D64</f>
        <v>2</v>
      </c>
    </row>
    <row r="64" spans="2:4" ht="15" hidden="1" thickBot="1" x14ac:dyDescent="0.35">
      <c r="B64" s="122"/>
      <c r="C64" s="54" t="str">
        <f>Questionnaire!E65</f>
        <v>Amélioration ponctuelle du processus sur retour d’expérience, mais non systématique.</v>
      </c>
      <c r="D64" s="55" t="str">
        <f>Questionnaire!D65</f>
        <v/>
      </c>
    </row>
    <row r="65" spans="2:4" ht="15" hidden="1" thickBot="1" x14ac:dyDescent="0.35">
      <c r="B65" s="119"/>
      <c r="C65" s="44" t="str">
        <f>Questionnaire!E66</f>
        <v>Processus révisé périodiquement à partir des retours d’expérience.</v>
      </c>
      <c r="D65" s="44" t="str">
        <f>Questionnaire!D66</f>
        <v/>
      </c>
    </row>
    <row r="66" spans="2:4" ht="15" hidden="1" thickBot="1" x14ac:dyDescent="0.35">
      <c r="B66" s="119"/>
      <c r="C66" s="40" t="str">
        <f>Questionnaire!E67</f>
        <v>Processus d’architecture intégré à un cycle d’amélioration continue, avec indicateurs et mise à jour régulière.</v>
      </c>
      <c r="D66" s="40" t="str">
        <f>Questionnaire!D67</f>
        <v/>
      </c>
    </row>
    <row r="67" spans="2:4" ht="18.600000000000001" hidden="1" thickBot="1" x14ac:dyDescent="0.4">
      <c r="B67" s="49"/>
      <c r="C67" s="50" t="str">
        <f>Questionnaire!E68</f>
        <v>Business &amp; IT Strategy Linkage Capability</v>
      </c>
      <c r="D67" s="51">
        <f>Questionnaire!D68</f>
        <v>1.8</v>
      </c>
    </row>
    <row r="68" spans="2:4" ht="15" hidden="1" thickBot="1" x14ac:dyDescent="0.35">
      <c r="B68" s="37"/>
      <c r="C68" s="45" t="str">
        <f>Questionnaire!E69</f>
        <v>S’assurer que l’architecture soutient réellement les besoins métiers</v>
      </c>
      <c r="D68" s="45">
        <f>Questionnaire!D69</f>
        <v>0</v>
      </c>
    </row>
    <row r="69" spans="2:4" ht="15" hidden="1" thickBot="1" x14ac:dyDescent="0.35">
      <c r="B69" s="121" t="str">
        <f>VLOOKUP(C69,Recherche!$B$2:$E$226,4)</f>
        <v>3. Business &amp; IT Strategy Linkage Capability</v>
      </c>
      <c r="C69" s="32" t="str">
        <f>Questionnaire!E70</f>
        <v>3Q1. L’architecture est-elle alignée avec la stratégie métier de l’organisation ?</v>
      </c>
      <c r="D69" s="32">
        <f>Questionnaire!D70</f>
        <v>2</v>
      </c>
    </row>
    <row r="70" spans="2:4" ht="15" hidden="1" thickBot="1" x14ac:dyDescent="0.35">
      <c r="B70" s="119"/>
      <c r="C70" s="35" t="str">
        <f>Questionnaire!E71</f>
        <v>Aucun alignement entre l’architecture et la stratégie métier.</v>
      </c>
      <c r="D70" s="35" t="str">
        <f>Questionnaire!D71</f>
        <v/>
      </c>
    </row>
    <row r="71" spans="2:4" ht="15" hidden="1" thickBot="1" x14ac:dyDescent="0.35">
      <c r="B71" s="119"/>
      <c r="C71" s="35" t="str">
        <f>Questionnaire!E72</f>
        <v>Alignement en réflexion mais pas encore formalisé.</v>
      </c>
      <c r="D71" s="35">
        <f>Questionnaire!D72</f>
        <v>2</v>
      </c>
    </row>
    <row r="72" spans="2:4" ht="15" hidden="1" thickBot="1" x14ac:dyDescent="0.35">
      <c r="B72" s="119"/>
      <c r="C72" s="35" t="str">
        <f>Questionnaire!E73</f>
        <v>Alignement partiel mais manque de cohérence.</v>
      </c>
      <c r="D72" s="35" t="str">
        <f>Questionnaire!D73</f>
        <v/>
      </c>
    </row>
    <row r="73" spans="2:4" ht="15" hidden="1" thickBot="1" x14ac:dyDescent="0.35">
      <c r="B73" s="119"/>
      <c r="C73" s="35" t="str">
        <f>Questionnaire!E74</f>
        <v>Alignement opérationnel avec la stratégie métier.</v>
      </c>
      <c r="D73" s="35" t="str">
        <f>Questionnaire!D74</f>
        <v/>
      </c>
    </row>
    <row r="74" spans="2:4" ht="15" hidden="1" thickBot="1" x14ac:dyDescent="0.35">
      <c r="B74" s="119"/>
      <c r="C74" s="40" t="str">
        <f>Questionnaire!E75</f>
        <v>Alignement stratégique parfaitement intégré aux processus d’architecture.</v>
      </c>
      <c r="D74" s="40" t="str">
        <f>Questionnaire!D75</f>
        <v/>
      </c>
    </row>
    <row r="75" spans="2:4" ht="15" hidden="1" thickBot="1" x14ac:dyDescent="0.35">
      <c r="B75" s="122"/>
      <c r="C75" s="52" t="str">
        <f>Questionnaire!E76</f>
        <v>3Q2. Les besoins métiers sont-ils systématiquement intégrés dans les décisions d’architecture ?</v>
      </c>
      <c r="D75" s="53">
        <f>Questionnaire!D76</f>
        <v>2</v>
      </c>
    </row>
    <row r="76" spans="2:4" ht="15" hidden="1" thickBot="1" x14ac:dyDescent="0.35">
      <c r="B76" s="119"/>
      <c r="C76" s="44" t="str">
        <f>Questionnaire!E77</f>
        <v>Les besoins métiers ne sont pas pris en compte.</v>
      </c>
      <c r="D76" s="44" t="str">
        <f>Questionnaire!D77</f>
        <v/>
      </c>
    </row>
    <row r="77" spans="2:4" ht="15" hidden="1" thickBot="1" x14ac:dyDescent="0.35">
      <c r="B77" s="119"/>
      <c r="C77" s="40" t="str">
        <f>Questionnaire!E78</f>
        <v>Intégration ponctuelle des besoins métiers.</v>
      </c>
      <c r="D77" s="40">
        <f>Questionnaire!D78</f>
        <v>2</v>
      </c>
    </row>
    <row r="78" spans="2:4" ht="15" hidden="1" thickBot="1" x14ac:dyDescent="0.35">
      <c r="B78" s="122"/>
      <c r="C78" s="54" t="str">
        <f>Questionnaire!E79</f>
        <v>Intégration variable selon les projets.</v>
      </c>
      <c r="D78" s="55" t="str">
        <f>Questionnaire!D79</f>
        <v/>
      </c>
    </row>
    <row r="79" spans="2:4" ht="15" hidden="1" thickBot="1" x14ac:dyDescent="0.35">
      <c r="B79" s="119"/>
      <c r="C79" s="44" t="str">
        <f>Questionnaire!E80</f>
        <v>Intégration régulière des besoins métiers dans les décisions.</v>
      </c>
      <c r="D79" s="44" t="str">
        <f>Questionnaire!D80</f>
        <v/>
      </c>
    </row>
    <row r="80" spans="2:4" ht="15" hidden="1" thickBot="1" x14ac:dyDescent="0.35">
      <c r="B80" s="119"/>
      <c r="C80" s="35" t="str">
        <f>Questionnaire!E81</f>
        <v>Intégration des besoins métiers systématique et priorisée.</v>
      </c>
      <c r="D80" s="35" t="str">
        <f>Questionnaire!D81</f>
        <v/>
      </c>
    </row>
    <row r="81" spans="2:4" ht="15" hidden="1" thickBot="1" x14ac:dyDescent="0.35">
      <c r="B81" s="119"/>
      <c r="C81" s="32" t="str">
        <f>Questionnaire!E82</f>
        <v>3Q3. Les projets stratégiques sont-ils priorisés en fonction de leur alignement avec l’architecture cible ?</v>
      </c>
      <c r="D81" s="32">
        <f>Questionnaire!D82</f>
        <v>2</v>
      </c>
    </row>
    <row r="82" spans="2:4" ht="15" hidden="1" thickBot="1" x14ac:dyDescent="0.35">
      <c r="B82" s="119"/>
      <c r="C82" s="35" t="str">
        <f>Questionnaire!E83</f>
        <v>Aucune priorisation stratégique des projets.</v>
      </c>
      <c r="D82" s="35" t="str">
        <f>Questionnaire!D83</f>
        <v/>
      </c>
    </row>
    <row r="83" spans="2:4" ht="15" hidden="1" thickBot="1" x14ac:dyDescent="0.35">
      <c r="B83" s="119"/>
      <c r="C83" s="35" t="str">
        <f>Questionnaire!E84</f>
        <v>Priorisation au cas par cas sans vision stratégique.</v>
      </c>
      <c r="D83" s="35">
        <f>Questionnaire!D84</f>
        <v>2</v>
      </c>
    </row>
    <row r="84" spans="2:4" ht="15" hidden="1" thickBot="1" x14ac:dyDescent="0.35">
      <c r="B84" s="119"/>
      <c r="C84" s="35" t="str">
        <f>Questionnaire!E85</f>
        <v>Priorisation existante mais non systématique.</v>
      </c>
      <c r="D84" s="35" t="str">
        <f>Questionnaire!D85</f>
        <v/>
      </c>
    </row>
    <row r="85" spans="2:4" ht="15" hidden="1" thickBot="1" x14ac:dyDescent="0.35">
      <c r="B85" s="119"/>
      <c r="C85" s="35" t="str">
        <f>Questionnaire!E86</f>
        <v>Priorisation stratégique des projets en place.</v>
      </c>
      <c r="D85" s="35" t="str">
        <f>Questionnaire!D86</f>
        <v/>
      </c>
    </row>
    <row r="86" spans="2:4" ht="15" hidden="1" thickBot="1" x14ac:dyDescent="0.35">
      <c r="B86" s="119"/>
      <c r="C86" s="40" t="str">
        <f>Questionnaire!E87</f>
        <v>Priorisation basée sur la valeur métier et la stratégie.</v>
      </c>
      <c r="D86" s="40" t="str">
        <f>Questionnaire!D87</f>
        <v/>
      </c>
    </row>
    <row r="87" spans="2:4" ht="15" hidden="1" thickBot="1" x14ac:dyDescent="0.35">
      <c r="B87" s="122"/>
      <c r="C87" s="52" t="str">
        <f>Questionnaire!E88</f>
        <v>3Q4. Les capacités métier sont-elles cartographiées et utilisées pour orienter les choix d’architecture ?</v>
      </c>
      <c r="D87" s="53">
        <f>Questionnaire!D88</f>
        <v>2</v>
      </c>
    </row>
    <row r="88" spans="2:4" ht="15" hidden="1" thickBot="1" x14ac:dyDescent="0.35">
      <c r="B88" s="119"/>
      <c r="C88" s="44" t="str">
        <f>Questionnaire!E89</f>
        <v>Aucune cartographie des capacités métier.</v>
      </c>
      <c r="D88" s="44" t="str">
        <f>Questionnaire!D89</f>
        <v/>
      </c>
    </row>
    <row r="89" spans="2:4" ht="15" hidden="1" thickBot="1" x14ac:dyDescent="0.35">
      <c r="B89" s="119"/>
      <c r="C89" s="40" t="str">
        <f>Questionnaire!E90</f>
        <v>Cartographie embryonnaire ou incomplète.</v>
      </c>
      <c r="D89" s="40">
        <f>Questionnaire!D90</f>
        <v>2</v>
      </c>
    </row>
    <row r="90" spans="2:4" ht="15" hidden="1" thickBot="1" x14ac:dyDescent="0.35">
      <c r="B90" s="122"/>
      <c r="C90" s="54" t="str">
        <f>Questionnaire!E91</f>
        <v>Cartographie des capacités métier partiellement exploitée.</v>
      </c>
      <c r="D90" s="55" t="str">
        <f>Questionnaire!D91</f>
        <v/>
      </c>
    </row>
    <row r="91" spans="2:4" ht="15" hidden="1" thickBot="1" x14ac:dyDescent="0.35">
      <c r="B91" s="119"/>
      <c r="C91" s="44" t="str">
        <f>Questionnaire!E92</f>
        <v>Cartographie des capacités métier utilisée pour orienter les choix.</v>
      </c>
      <c r="D91" s="44" t="str">
        <f>Questionnaire!D92</f>
        <v/>
      </c>
    </row>
    <row r="92" spans="2:4" ht="15" hidden="1" thickBot="1" x14ac:dyDescent="0.35">
      <c r="B92" s="119"/>
      <c r="C92" s="35" t="str">
        <f>Questionnaire!E93</f>
        <v>Cartographie des capacités métier utilisée comme référence stratégique.</v>
      </c>
      <c r="D92" s="35" t="str">
        <f>Questionnaire!D93</f>
        <v/>
      </c>
    </row>
    <row r="93" spans="2:4" ht="15" hidden="1" thickBot="1" x14ac:dyDescent="0.35">
      <c r="B93" s="119"/>
      <c r="C93" s="32" t="str">
        <f>Questionnaire!E94</f>
        <v>3Q5. Les parties prenantes métiers sont-elles impliquées dans la définition des priorités d’architecture ?</v>
      </c>
      <c r="D93" s="32">
        <f>Questionnaire!D94</f>
        <v>1</v>
      </c>
    </row>
    <row r="94" spans="2:4" ht="15" hidden="1" thickBot="1" x14ac:dyDescent="0.35">
      <c r="B94" s="119"/>
      <c r="C94" s="35" t="str">
        <f>Questionnaire!E95</f>
        <v>Les parties prenantes métiers sont absentes des discussions.</v>
      </c>
      <c r="D94" s="35">
        <f>Questionnaire!D95</f>
        <v>1</v>
      </c>
    </row>
    <row r="95" spans="2:4" ht="15" hidden="1" thickBot="1" x14ac:dyDescent="0.35">
      <c r="B95" s="119"/>
      <c r="C95" s="35" t="str">
        <f>Questionnaire!E96</f>
        <v>Les parties prenantes métiers sont consultées de manière ponctuelle.</v>
      </c>
      <c r="D95" s="35" t="str">
        <f>Questionnaire!D96</f>
        <v/>
      </c>
    </row>
    <row r="96" spans="2:4" ht="15" hidden="1" thickBot="1" x14ac:dyDescent="0.35">
      <c r="B96" s="119"/>
      <c r="C96" s="35" t="str">
        <f>Questionnaire!E97</f>
        <v>Les parties prenantes métiers participent mais sans rôle décisionnel.</v>
      </c>
      <c r="D96" s="35" t="str">
        <f>Questionnaire!D97</f>
        <v/>
      </c>
    </row>
    <row r="97" spans="2:4" ht="15" hidden="1" thickBot="1" x14ac:dyDescent="0.35">
      <c r="B97" s="119"/>
      <c r="C97" s="35" t="str">
        <f>Questionnaire!E98</f>
        <v>Les parties prenantes métiers sont impliquées et consultées régulièrement.</v>
      </c>
      <c r="D97" s="35" t="str">
        <f>Questionnaire!D98</f>
        <v/>
      </c>
    </row>
    <row r="98" spans="2:4" ht="15" hidden="1" thickBot="1" x14ac:dyDescent="0.35">
      <c r="B98" s="120"/>
      <c r="C98" s="35" t="str">
        <f>Questionnaire!E99</f>
        <v>Les parties prenantes métiers participent activement et influencent les décisions.</v>
      </c>
      <c r="D98" s="35" t="str">
        <f>Questionnaire!D99</f>
        <v/>
      </c>
    </row>
    <row r="99" spans="2:4" ht="18.600000000000001" hidden="1" thickBot="1" x14ac:dyDescent="0.4">
      <c r="B99" s="37"/>
      <c r="C99" s="33" t="str">
        <f>Questionnaire!E100</f>
        <v>Communication Capability</v>
      </c>
      <c r="D99" s="33">
        <f>Questionnaire!D100</f>
        <v>2.6</v>
      </c>
    </row>
    <row r="100" spans="2:4" ht="15" hidden="1" thickBot="1" x14ac:dyDescent="0.35">
      <c r="B100" s="37"/>
      <c r="C100" s="34" t="str">
        <f>Questionnaire!E101</f>
        <v>Favoriser l’adhésion et la compréhension de l’architecture</v>
      </c>
      <c r="D100" s="34">
        <f>Questionnaire!D101</f>
        <v>0</v>
      </c>
    </row>
    <row r="101" spans="2:4" x14ac:dyDescent="0.3">
      <c r="B101" s="121" t="str">
        <f>VLOOKUP(C101,Recherche!$B$2:$E$226,4)</f>
        <v>4. Communication Capability</v>
      </c>
      <c r="C101" s="32" t="str">
        <f>Questionnaire!E102</f>
        <v>4Q1. Les concepts d’architecture sont-ils vulgarisés pour les rendre accessibles aux parties prenantes ?</v>
      </c>
      <c r="D101" s="109">
        <f>Questionnaire!D102</f>
        <v>3</v>
      </c>
    </row>
    <row r="102" spans="2:4" hidden="1" x14ac:dyDescent="0.3">
      <c r="B102" s="119"/>
      <c r="C102" s="35" t="str">
        <f>Questionnaire!E103</f>
        <v>Aucune communication autour de l’architecture.</v>
      </c>
      <c r="D102" s="35" t="str">
        <f>Questionnaire!D103</f>
        <v/>
      </c>
    </row>
    <row r="103" spans="2:4" hidden="1" x14ac:dyDescent="0.3">
      <c r="B103" s="119"/>
      <c r="C103" s="35" t="str">
        <f>Questionnaire!E104</f>
        <v>Communication ponctuelle et limitée.</v>
      </c>
      <c r="D103" s="35" t="str">
        <f>Questionnaire!D104</f>
        <v/>
      </c>
    </row>
    <row r="104" spans="2:4" x14ac:dyDescent="0.3">
      <c r="B104" s="119"/>
      <c r="C104" s="35" t="str">
        <f>Questionnaire!E105</f>
        <v>Communication existante mais inégale.</v>
      </c>
      <c r="D104" s="110">
        <f>Questionnaire!D105</f>
        <v>3</v>
      </c>
    </row>
    <row r="105" spans="2:4" hidden="1" x14ac:dyDescent="0.3">
      <c r="B105" s="119"/>
      <c r="C105" s="35" t="str">
        <f>Questionnaire!E106</f>
        <v>Communication régulière et adaptée.</v>
      </c>
      <c r="D105" s="35" t="str">
        <f>Questionnaire!D106</f>
        <v/>
      </c>
    </row>
    <row r="106" spans="2:4" hidden="1" x14ac:dyDescent="0.3">
      <c r="B106" s="119"/>
      <c r="C106" s="35" t="str">
        <f>Questionnaire!E107</f>
        <v>Communication institutionnalisée, planifiée et proactive.</v>
      </c>
      <c r="D106" s="35" t="str">
        <f>Questionnaire!D107</f>
        <v/>
      </c>
    </row>
    <row r="107" spans="2:4" x14ac:dyDescent="0.3">
      <c r="B107" s="119"/>
      <c r="C107" s="32" t="str">
        <f>Questionnaire!E108</f>
        <v>4Q2. Les architectes sont-ils capables d’animer des ateliers et des réunions efficaces ?</v>
      </c>
      <c r="D107" s="109">
        <f>Questionnaire!D108</f>
        <v>3</v>
      </c>
    </row>
    <row r="108" spans="2:4" hidden="1" x14ac:dyDescent="0.3">
      <c r="B108" s="119"/>
      <c r="C108" s="35" t="str">
        <f>Questionnaire!E109</f>
        <v>Aucune animation d’atelier ni réunion efficace.</v>
      </c>
      <c r="D108" s="35" t="str">
        <f>Questionnaire!D109</f>
        <v/>
      </c>
    </row>
    <row r="109" spans="2:4" hidden="1" x14ac:dyDescent="0.3">
      <c r="B109" s="119"/>
      <c r="C109" s="35" t="str">
        <f>Questionnaire!E110</f>
        <v>Animation d’atelier occasionnelle et peu structurée.</v>
      </c>
      <c r="D109" s="35" t="str">
        <f>Questionnaire!D110</f>
        <v/>
      </c>
    </row>
    <row r="110" spans="2:4" x14ac:dyDescent="0.3">
      <c r="B110" s="119"/>
      <c r="C110" s="35" t="str">
        <f>Questionnaire!E111</f>
        <v>Animation d’ateliers variable selon les projets.</v>
      </c>
      <c r="D110" s="110">
        <f>Questionnaire!D111</f>
        <v>3</v>
      </c>
    </row>
    <row r="111" spans="2:4" hidden="1" x14ac:dyDescent="0.3">
      <c r="B111" s="119"/>
      <c r="C111" s="35" t="str">
        <f>Questionnaire!E112</f>
        <v>Animation d’ateliers efficace et interactive.</v>
      </c>
      <c r="D111" s="35" t="str">
        <f>Questionnaire!D112</f>
        <v/>
      </c>
    </row>
    <row r="112" spans="2:4" hidden="1" x14ac:dyDescent="0.3">
      <c r="B112" s="119"/>
      <c r="C112" s="35" t="str">
        <f>Questionnaire!E113</f>
        <v>Animation d’ateliers et réunions exemplaires.</v>
      </c>
      <c r="D112" s="35" t="str">
        <f>Questionnaire!D113</f>
        <v/>
      </c>
    </row>
    <row r="113" spans="2:4" hidden="1" x14ac:dyDescent="0.3">
      <c r="B113" s="119"/>
      <c r="C113" s="32" t="str">
        <f>Questionnaire!E114</f>
        <v>4Q3. Des supports de communication adaptés (présentations, synthèses, etc.) sont-ils produits régulièrement ?</v>
      </c>
      <c r="D113" s="32">
        <f>Questionnaire!D114</f>
        <v>2</v>
      </c>
    </row>
    <row r="114" spans="2:4" hidden="1" x14ac:dyDescent="0.3">
      <c r="B114" s="119"/>
      <c r="C114" s="35" t="str">
        <f>Questionnaire!E115</f>
        <v>Aucun support de communication adapté.</v>
      </c>
      <c r="D114" s="35" t="str">
        <f>Questionnaire!D115</f>
        <v/>
      </c>
    </row>
    <row r="115" spans="2:4" hidden="1" x14ac:dyDescent="0.3">
      <c r="B115" s="119"/>
      <c r="C115" s="35" t="str">
        <f>Questionnaire!E116</f>
        <v>Supports peu clairs ou inadaptés.</v>
      </c>
      <c r="D115" s="35">
        <f>Questionnaire!D116</f>
        <v>2</v>
      </c>
    </row>
    <row r="116" spans="2:4" hidden="1" x14ac:dyDescent="0.3">
      <c r="B116" s="119"/>
      <c r="C116" s="35" t="str">
        <f>Questionnaire!E117</f>
        <v>Supports améliorés mais pas systématiques.</v>
      </c>
      <c r="D116" s="35" t="str">
        <f>Questionnaire!D117</f>
        <v/>
      </c>
    </row>
    <row r="117" spans="2:4" hidden="1" x14ac:dyDescent="0.3">
      <c r="B117" s="119"/>
      <c r="C117" s="35" t="str">
        <f>Questionnaire!E118</f>
        <v>Supports clairs et pertinents pour les parties prenantes.</v>
      </c>
      <c r="D117" s="35" t="str">
        <f>Questionnaire!D118</f>
        <v/>
      </c>
    </row>
    <row r="118" spans="2:4" hidden="1" x14ac:dyDescent="0.3">
      <c r="B118" s="119"/>
      <c r="C118" s="35" t="str">
        <f>Questionnaire!E119</f>
        <v>Supports de communication de grande qualité et réutilisables.</v>
      </c>
      <c r="D118" s="35" t="str">
        <f>Questionnaire!D119</f>
        <v/>
      </c>
    </row>
    <row r="119" spans="2:4" x14ac:dyDescent="0.3">
      <c r="B119" s="119"/>
      <c r="C119" s="32" t="str">
        <f>Questionnaire!E120</f>
        <v>4Q4. Les parties prenantes comprennent-elles la valeur ajoutée de l’architecture ?</v>
      </c>
      <c r="D119" s="109">
        <f>Questionnaire!D120</f>
        <v>3</v>
      </c>
    </row>
    <row r="120" spans="2:4" hidden="1" x14ac:dyDescent="0.3">
      <c r="B120" s="119"/>
      <c r="C120" s="35" t="str">
        <f>Questionnaire!E121</f>
        <v>Les parties prenantes ne comprennent pas la valeur de l’architecture.</v>
      </c>
      <c r="D120" s="35" t="str">
        <f>Questionnaire!D121</f>
        <v/>
      </c>
    </row>
    <row r="121" spans="2:4" hidden="1" x14ac:dyDescent="0.3">
      <c r="B121" s="119"/>
      <c r="C121" s="35" t="str">
        <f>Questionnaire!E122</f>
        <v>Les parties prenantes comprennent partiellement la valeur.</v>
      </c>
      <c r="D121" s="35" t="str">
        <f>Questionnaire!D122</f>
        <v/>
      </c>
    </row>
    <row r="122" spans="2:4" x14ac:dyDescent="0.3">
      <c r="B122" s="119"/>
      <c r="C122" s="35" t="str">
        <f>Questionnaire!E123</f>
        <v>Compréhension partielle de la valeur ajoutée.</v>
      </c>
      <c r="D122" s="110">
        <f>Questionnaire!D123</f>
        <v>3</v>
      </c>
    </row>
    <row r="123" spans="2:4" hidden="1" x14ac:dyDescent="0.3">
      <c r="B123" s="119"/>
      <c r="C123" s="35" t="str">
        <f>Questionnaire!E124</f>
        <v>Bonne compréhension de la valeur de l’architecture.</v>
      </c>
      <c r="D123" s="35" t="str">
        <f>Questionnaire!D124</f>
        <v/>
      </c>
    </row>
    <row r="124" spans="2:4" hidden="1" x14ac:dyDescent="0.3">
      <c r="B124" s="119"/>
      <c r="C124" s="35" t="str">
        <f>Questionnaire!E125</f>
        <v>Les parties prenantes comprennent et défendent la valeur ajoutée.</v>
      </c>
      <c r="D124" s="35" t="str">
        <f>Questionnaire!D125</f>
        <v/>
      </c>
    </row>
    <row r="125" spans="2:4" hidden="1" x14ac:dyDescent="0.3">
      <c r="B125" s="119"/>
      <c r="C125" s="32" t="str">
        <f>Questionnaire!E126</f>
        <v>4Q5. La communication est-elle bidirectionnelle (écoute active et remontée des besoins) ?</v>
      </c>
      <c r="D125" s="32">
        <f>Questionnaire!D126</f>
        <v>2</v>
      </c>
    </row>
    <row r="126" spans="2:4" hidden="1" x14ac:dyDescent="0.3">
      <c r="B126" s="119"/>
      <c r="C126" s="35" t="str">
        <f>Questionnaire!E127</f>
        <v>Aucune écoute ni retour d’information.</v>
      </c>
      <c r="D126" s="35" t="str">
        <f>Questionnaire!D127</f>
        <v/>
      </c>
    </row>
    <row r="127" spans="2:4" hidden="1" x14ac:dyDescent="0.3">
      <c r="B127" s="119"/>
      <c r="C127" s="35" t="str">
        <f>Questionnaire!E128</f>
        <v>Communication unidirectionnelle descendante.</v>
      </c>
      <c r="D127" s="35">
        <f>Questionnaire!D128</f>
        <v>2</v>
      </c>
    </row>
    <row r="128" spans="2:4" hidden="1" x14ac:dyDescent="0.3">
      <c r="B128" s="119"/>
      <c r="C128" s="35" t="str">
        <f>Questionnaire!E129</f>
        <v>Communication en partie bidirectionnelle.</v>
      </c>
      <c r="D128" s="35" t="str">
        <f>Questionnaire!D129</f>
        <v/>
      </c>
    </row>
    <row r="129" spans="2:4" hidden="1" x14ac:dyDescent="0.3">
      <c r="B129" s="119"/>
      <c r="C129" s="35" t="str">
        <f>Questionnaire!E130</f>
        <v>Communication bidirectionnelle active.</v>
      </c>
      <c r="D129" s="35" t="str">
        <f>Questionnaire!D130</f>
        <v/>
      </c>
    </row>
    <row r="130" spans="2:4" ht="15" hidden="1" thickBot="1" x14ac:dyDescent="0.35">
      <c r="B130" s="120"/>
      <c r="C130" s="35" t="str">
        <f>Questionnaire!E131</f>
        <v>Communication bidirectionnelle et collaborative.</v>
      </c>
      <c r="D130" s="35" t="str">
        <f>Questionnaire!D131</f>
        <v/>
      </c>
    </row>
    <row r="131" spans="2:4" ht="18.600000000000001" thickBot="1" x14ac:dyDescent="0.4">
      <c r="B131" s="37"/>
      <c r="C131" s="33" t="str">
        <f>Questionnaire!E132</f>
        <v>Tools &amp; Repository Capability</v>
      </c>
      <c r="D131" s="108">
        <f>Questionnaire!D132</f>
        <v>3</v>
      </c>
    </row>
    <row r="132" spans="2:4" ht="15" hidden="1" thickBot="1" x14ac:dyDescent="0.35">
      <c r="B132" s="37"/>
      <c r="C132" s="34" t="str">
        <f>Questionnaire!E133</f>
        <v>Structurer et capitaliser les connaissances en architecture</v>
      </c>
      <c r="D132" s="34">
        <f>Questionnaire!D133</f>
        <v>0</v>
      </c>
    </row>
    <row r="133" spans="2:4" x14ac:dyDescent="0.3">
      <c r="B133" s="121" t="str">
        <f>VLOOKUP(C133,Recherche!$B$2:$E$226,4)</f>
        <v>5. Tools &amp; Repository Capability</v>
      </c>
      <c r="C133" s="32" t="str">
        <f>Questionnaire!E134</f>
        <v>5Q1. Disposez-vous d’un outil d’architecture partagé et accessible à tous les architectes ?</v>
      </c>
      <c r="D133" s="109">
        <f>Questionnaire!D134</f>
        <v>3</v>
      </c>
    </row>
    <row r="134" spans="2:4" hidden="1" x14ac:dyDescent="0.3">
      <c r="B134" s="119"/>
      <c r="C134" s="35" t="str">
        <f>Questionnaire!E135</f>
        <v>Aucun outil d’architecture n’est utilisé.</v>
      </c>
      <c r="D134" s="35" t="str">
        <f>Questionnaire!D135</f>
        <v/>
      </c>
    </row>
    <row r="135" spans="2:4" hidden="1" x14ac:dyDescent="0.3">
      <c r="B135" s="119"/>
      <c r="C135" s="35" t="str">
        <f>Questionnaire!E136</f>
        <v>Un outil est envisagé mais son utilisation est limitée.</v>
      </c>
      <c r="D135" s="35" t="str">
        <f>Questionnaire!D136</f>
        <v/>
      </c>
    </row>
    <row r="136" spans="2:4" x14ac:dyDescent="0.3">
      <c r="B136" s="119"/>
      <c r="C136" s="35" t="str">
        <f>Questionnaire!E137</f>
        <v>Outil disponible mais son usage n’est pas homogène.</v>
      </c>
      <c r="D136" s="110">
        <f>Questionnaire!D137</f>
        <v>3</v>
      </c>
    </row>
    <row r="137" spans="2:4" hidden="1" x14ac:dyDescent="0.3">
      <c r="B137" s="119"/>
      <c r="C137" s="35" t="str">
        <f>Questionnaire!E138</f>
        <v>Outil d’architecture partagé et bien utilisé.</v>
      </c>
      <c r="D137" s="35" t="str">
        <f>Questionnaire!D138</f>
        <v/>
      </c>
    </row>
    <row r="138" spans="2:4" hidden="1" x14ac:dyDescent="0.3">
      <c r="B138" s="119"/>
      <c r="C138" s="35" t="str">
        <f>Questionnaire!E139</f>
        <v>Outil d’architecture totalement intégré à l’écosystème numérique.</v>
      </c>
      <c r="D138" s="35" t="str">
        <f>Questionnaire!D139</f>
        <v/>
      </c>
    </row>
    <row r="139" spans="2:4" hidden="1" x14ac:dyDescent="0.3">
      <c r="B139" s="119"/>
      <c r="C139" s="32" t="str">
        <f>Questionnaire!E140</f>
        <v>5Q2. Les modèles d’architecture sont-ils centralisés et à jour dans un référentiel unique ?</v>
      </c>
      <c r="D139" s="32">
        <f>Questionnaire!D140</f>
        <v>4</v>
      </c>
    </row>
    <row r="140" spans="2:4" hidden="1" x14ac:dyDescent="0.3">
      <c r="B140" s="119"/>
      <c r="C140" s="35" t="str">
        <f>Questionnaire!E141</f>
        <v>Les modèles d’architecture sont dispersés et non centralisés.</v>
      </c>
      <c r="D140" s="35" t="str">
        <f>Questionnaire!D141</f>
        <v/>
      </c>
    </row>
    <row r="141" spans="2:4" hidden="1" x14ac:dyDescent="0.3">
      <c r="B141" s="119"/>
      <c r="C141" s="35" t="str">
        <f>Questionnaire!E142</f>
        <v>Les modèles sont regroupés partiellement, sans mise à jour.</v>
      </c>
      <c r="D141" s="35" t="str">
        <f>Questionnaire!D142</f>
        <v/>
      </c>
    </row>
    <row r="142" spans="2:4" hidden="1" x14ac:dyDescent="0.3">
      <c r="B142" s="119"/>
      <c r="C142" s="35" t="str">
        <f>Questionnaire!E143</f>
        <v>Modèles centralisés mais mis à jour de manière irrégulière.</v>
      </c>
      <c r="D142" s="35" t="str">
        <f>Questionnaire!D143</f>
        <v/>
      </c>
    </row>
    <row r="143" spans="2:4" hidden="1" x14ac:dyDescent="0.3">
      <c r="B143" s="119"/>
      <c r="C143" s="35" t="str">
        <f>Questionnaire!E144</f>
        <v>Modèles centralisés, à jour et accessibles.</v>
      </c>
      <c r="D143" s="35">
        <f>Questionnaire!D144</f>
        <v>4</v>
      </c>
    </row>
    <row r="144" spans="2:4" hidden="1" x14ac:dyDescent="0.3">
      <c r="B144" s="119"/>
      <c r="C144" s="35" t="str">
        <f>Questionnaire!E145</f>
        <v>Modèles complets, mis à jour en temps réel et exploités activement.</v>
      </c>
      <c r="D144" s="35" t="str">
        <f>Questionnaire!D145</f>
        <v/>
      </c>
    </row>
    <row r="145" spans="2:4" x14ac:dyDescent="0.3">
      <c r="B145" s="119"/>
      <c r="C145" s="32" t="str">
        <f>Questionnaire!E146</f>
        <v>5Q3. L’outil d’architecture est-il utilisé de manière cohérente et normalisée ?</v>
      </c>
      <c r="D145" s="109">
        <f>Questionnaire!D146</f>
        <v>3</v>
      </c>
    </row>
    <row r="146" spans="2:4" hidden="1" x14ac:dyDescent="0.3">
      <c r="B146" s="119"/>
      <c r="C146" s="35" t="str">
        <f>Questionnaire!E147</f>
        <v>L’outil n’est pas utilisé ou est obsolète.</v>
      </c>
      <c r="D146" s="35" t="str">
        <f>Questionnaire!D147</f>
        <v/>
      </c>
    </row>
    <row r="147" spans="2:4" hidden="1" x14ac:dyDescent="0.3">
      <c r="B147" s="119"/>
      <c r="C147" s="35" t="str">
        <f>Questionnaire!E148</f>
        <v>Utilisation sporadique de l’outil d’architecture.</v>
      </c>
      <c r="D147" s="35" t="str">
        <f>Questionnaire!D148</f>
        <v/>
      </c>
    </row>
    <row r="148" spans="2:4" x14ac:dyDescent="0.3">
      <c r="B148" s="119"/>
      <c r="C148" s="35" t="str">
        <f>Questionnaire!E149</f>
        <v>Utilisation variable selon les projets et les équipes.</v>
      </c>
      <c r="D148" s="110">
        <f>Questionnaire!D149</f>
        <v>3</v>
      </c>
    </row>
    <row r="149" spans="2:4" hidden="1" x14ac:dyDescent="0.3">
      <c r="B149" s="119"/>
      <c r="C149" s="35" t="str">
        <f>Questionnaire!E150</f>
        <v>Utilisation homogène et standardisée.</v>
      </c>
      <c r="D149" s="35" t="str">
        <f>Questionnaire!D150</f>
        <v/>
      </c>
    </row>
    <row r="150" spans="2:4" hidden="1" x14ac:dyDescent="0.3">
      <c r="B150" s="119"/>
      <c r="C150" s="35" t="str">
        <f>Questionnaire!E151</f>
        <v>Utilisation systématique et institutionnalisée.</v>
      </c>
      <c r="D150" s="35" t="str">
        <f>Questionnaire!D151</f>
        <v/>
      </c>
    </row>
    <row r="151" spans="2:4" x14ac:dyDescent="0.3">
      <c r="B151" s="119"/>
      <c r="C151" s="32" t="str">
        <f>Questionnaire!E152</f>
        <v>5Q4. Les parties prenantes ont-elles accès aux informations pertinentes via l’outil ?</v>
      </c>
      <c r="D151" s="109">
        <f>Questionnaire!D152</f>
        <v>3</v>
      </c>
    </row>
    <row r="152" spans="2:4" hidden="1" x14ac:dyDescent="0.3">
      <c r="B152" s="119"/>
      <c r="C152" s="35" t="str">
        <f>Questionnaire!E153</f>
        <v>Aucun accès ou visibilité pour les parties prenantes.</v>
      </c>
      <c r="D152" s="35" t="str">
        <f>Questionnaire!D153</f>
        <v/>
      </c>
    </row>
    <row r="153" spans="2:4" hidden="1" x14ac:dyDescent="0.3">
      <c r="B153" s="119"/>
      <c r="C153" s="35" t="str">
        <f>Questionnaire!E154</f>
        <v>Accès limité pour certaines parties prenantes.</v>
      </c>
      <c r="D153" s="35" t="str">
        <f>Questionnaire!D154</f>
        <v/>
      </c>
    </row>
    <row r="154" spans="2:4" x14ac:dyDescent="0.3">
      <c r="B154" s="119"/>
      <c r="C154" s="35" t="str">
        <f>Questionnaire!E155</f>
        <v>Accès partiel pour les parties prenantes, usage inégal.</v>
      </c>
      <c r="D154" s="110">
        <f>Questionnaire!D155</f>
        <v>3</v>
      </c>
    </row>
    <row r="155" spans="2:4" hidden="1" x14ac:dyDescent="0.3">
      <c r="B155" s="119"/>
      <c r="C155" s="35" t="str">
        <f>Questionnaire!E156</f>
        <v>Accès facile pour les parties prenantes pertinentes.</v>
      </c>
      <c r="D155" s="35" t="str">
        <f>Questionnaire!D156</f>
        <v/>
      </c>
    </row>
    <row r="156" spans="2:4" hidden="1" x14ac:dyDescent="0.3">
      <c r="B156" s="119"/>
      <c r="C156" s="35" t="str">
        <f>Questionnaire!E157</f>
        <v>Accès personnalisé et collaboratif pour les parties prenantes.</v>
      </c>
      <c r="D156" s="35" t="str">
        <f>Questionnaire!D157</f>
        <v/>
      </c>
    </row>
    <row r="157" spans="2:4" hidden="1" x14ac:dyDescent="0.3">
      <c r="B157" s="119"/>
      <c r="C157" s="32" t="str">
        <f>Questionnaire!E158</f>
        <v>5Q5. L’outil d’architecture est-il intégré aux autres outils de l’entreprise (PMO, CMDB, etc.) ?</v>
      </c>
      <c r="D157" s="32">
        <f>Questionnaire!D158</f>
        <v>2</v>
      </c>
    </row>
    <row r="158" spans="2:4" hidden="1" x14ac:dyDescent="0.3">
      <c r="B158" s="119"/>
      <c r="C158" s="35" t="str">
        <f>Questionnaire!E159</f>
        <v>Aucun lien avec les autres outils de l’entreprise.</v>
      </c>
      <c r="D158" s="35" t="str">
        <f>Questionnaire!D159</f>
        <v/>
      </c>
    </row>
    <row r="159" spans="2:4" hidden="1" x14ac:dyDescent="0.3">
      <c r="B159" s="119"/>
      <c r="C159" s="35" t="str">
        <f>Questionnaire!E160</f>
        <v>Début de réflexion sur les intégrations possibles.</v>
      </c>
      <c r="D159" s="35">
        <f>Questionnaire!D160</f>
        <v>2</v>
      </c>
    </row>
    <row r="160" spans="2:4" hidden="1" x14ac:dyDescent="0.3">
      <c r="B160" s="119"/>
      <c r="C160" s="35" t="str">
        <f>Questionnaire!E161</f>
        <v>Intégrations partielles ou manuelles avec d’autres outils.</v>
      </c>
      <c r="D160" s="35" t="str">
        <f>Questionnaire!D161</f>
        <v/>
      </c>
    </row>
    <row r="161" spans="2:4" hidden="1" x14ac:dyDescent="0.3">
      <c r="B161" s="119"/>
      <c r="C161" s="35" t="str">
        <f>Questionnaire!E162</f>
        <v>Outil intégré aux principaux outils (PMO, CMDB, etc.).</v>
      </c>
      <c r="D161" s="35" t="str">
        <f>Questionnaire!D162</f>
        <v/>
      </c>
    </row>
    <row r="162" spans="2:4" ht="15" hidden="1" thickBot="1" x14ac:dyDescent="0.35">
      <c r="B162" s="120"/>
      <c r="C162" s="35" t="str">
        <f>Questionnaire!E163</f>
        <v>Intégration fluide et automatisée avec l’ensemble des outils.</v>
      </c>
      <c r="D162" s="35" t="str">
        <f>Questionnaire!D163</f>
        <v/>
      </c>
    </row>
    <row r="163" spans="2:4" ht="18" hidden="1" x14ac:dyDescent="0.35">
      <c r="B163" s="37"/>
      <c r="C163" s="33" t="str">
        <f>Questionnaire!E164</f>
        <v>People and Team Capability</v>
      </c>
      <c r="D163" s="33">
        <f>Questionnaire!D164</f>
        <v>1.4</v>
      </c>
    </row>
    <row r="164" spans="2:4" ht="15" hidden="1" thickBot="1" x14ac:dyDescent="0.35">
      <c r="B164" s="37"/>
      <c r="C164" s="34" t="str">
        <f>Questionnaire!E165</f>
        <v>Disposer des bonnes ressources pour porter l’architecture</v>
      </c>
      <c r="D164" s="34">
        <f>Questionnaire!D165</f>
        <v>0</v>
      </c>
    </row>
    <row r="165" spans="2:4" hidden="1" x14ac:dyDescent="0.3">
      <c r="B165" s="121" t="str">
        <f>VLOOKUP(C165,Recherche!$B$2:$E$226,4)</f>
        <v>6. People and Team Capability</v>
      </c>
      <c r="C165" s="32" t="str">
        <f>Questionnaire!E166</f>
        <v>6Q1. Disposez-vous d’une équipe d’architectes clairement identifiée et dotée de rôles définis ?</v>
      </c>
      <c r="D165" s="32">
        <f>Questionnaire!D166</f>
        <v>1</v>
      </c>
    </row>
    <row r="166" spans="2:4" hidden="1" x14ac:dyDescent="0.3">
      <c r="B166" s="119"/>
      <c r="C166" s="35" t="str">
        <f>Questionnaire!E167</f>
        <v>Pas d’équipe d’architectes identifiée ni de rôles définis.</v>
      </c>
      <c r="D166" s="35">
        <f>Questionnaire!D167</f>
        <v>1</v>
      </c>
    </row>
    <row r="167" spans="2:4" hidden="1" x14ac:dyDescent="0.3">
      <c r="B167" s="119"/>
      <c r="C167" s="35" t="str">
        <f>Questionnaire!E168</f>
        <v>Définition des rôles embryonnaire ou partielle.</v>
      </c>
      <c r="D167" s="35" t="str">
        <f>Questionnaire!D168</f>
        <v/>
      </c>
    </row>
    <row r="168" spans="2:4" hidden="1" x14ac:dyDescent="0.3">
      <c r="B168" s="119"/>
      <c r="C168" s="35" t="str">
        <f>Questionnaire!E169</f>
        <v>Rôles définis mais manque de clarté ou d’homogénéité.</v>
      </c>
      <c r="D168" s="35" t="str">
        <f>Questionnaire!D169</f>
        <v/>
      </c>
    </row>
    <row r="169" spans="2:4" hidden="1" x14ac:dyDescent="0.3">
      <c r="B169" s="119"/>
      <c r="C169" s="35" t="str">
        <f>Questionnaire!E170</f>
        <v>Rôles bien définis et connus de l’organisation.</v>
      </c>
      <c r="D169" s="35" t="str">
        <f>Questionnaire!D170</f>
        <v/>
      </c>
    </row>
    <row r="170" spans="2:4" hidden="1" x14ac:dyDescent="0.3">
      <c r="B170" s="119"/>
      <c r="C170" s="35" t="str">
        <f>Questionnaire!E171</f>
        <v>Rôles définis, connus et intégrés dans la gouvernance.</v>
      </c>
      <c r="D170" s="35" t="str">
        <f>Questionnaire!D171</f>
        <v/>
      </c>
    </row>
    <row r="171" spans="2:4" hidden="1" x14ac:dyDescent="0.3">
      <c r="B171" s="119"/>
      <c r="C171" s="32" t="str">
        <f>Questionnaire!E172</f>
        <v>6Q2. Les compétences de l’équipe sont-elles alignées avec les besoins de l’organisation ?</v>
      </c>
      <c r="D171" s="32">
        <f>Questionnaire!D172</f>
        <v>1</v>
      </c>
    </row>
    <row r="172" spans="2:4" hidden="1" x14ac:dyDescent="0.3">
      <c r="B172" s="119"/>
      <c r="C172" s="35" t="str">
        <f>Questionnaire!E173</f>
        <v>Compétences non alignées avec les besoins de l’organisation.</v>
      </c>
      <c r="D172" s="35">
        <f>Questionnaire!D173</f>
        <v>1</v>
      </c>
    </row>
    <row r="173" spans="2:4" hidden="1" x14ac:dyDescent="0.3">
      <c r="B173" s="119"/>
      <c r="C173" s="35" t="str">
        <f>Questionnaire!E174</f>
        <v>Compétences partiellement alignées, lacunes importantes.</v>
      </c>
      <c r="D173" s="35" t="str">
        <f>Questionnaire!D174</f>
        <v/>
      </c>
    </row>
    <row r="174" spans="2:4" hidden="1" x14ac:dyDescent="0.3">
      <c r="B174" s="119"/>
      <c r="C174" s="35" t="str">
        <f>Questionnaire!E175</f>
        <v>Compétences globalement alignées mais à renforcer.</v>
      </c>
      <c r="D174" s="35" t="str">
        <f>Questionnaire!D175</f>
        <v/>
      </c>
    </row>
    <row r="175" spans="2:4" hidden="1" x14ac:dyDescent="0.3">
      <c r="B175" s="119"/>
      <c r="C175" s="35" t="str">
        <f>Questionnaire!E176</f>
        <v>Compétences alignées et plan de formation adapté.</v>
      </c>
      <c r="D175" s="35" t="str">
        <f>Questionnaire!D176</f>
        <v/>
      </c>
    </row>
    <row r="176" spans="2:4" hidden="1" x14ac:dyDescent="0.3">
      <c r="B176" s="119"/>
      <c r="C176" s="35" t="str">
        <f>Questionnaire!E177</f>
        <v>Compétences stratégiques alignées et en constante évolution.</v>
      </c>
      <c r="D176" s="35" t="str">
        <f>Questionnaire!D177</f>
        <v/>
      </c>
    </row>
    <row r="177" spans="2:4" hidden="1" x14ac:dyDescent="0.3">
      <c r="B177" s="119"/>
      <c r="C177" s="32" t="str">
        <f>Questionnaire!E178</f>
        <v>6Q3. Un plan de formation et de développement des compétences est-il mis en place ?</v>
      </c>
      <c r="D177" s="32">
        <f>Questionnaire!D178</f>
        <v>1</v>
      </c>
    </row>
    <row r="178" spans="2:4" hidden="1" x14ac:dyDescent="0.3">
      <c r="B178" s="119"/>
      <c r="C178" s="35" t="str">
        <f>Questionnaire!E179</f>
        <v>Aucun plan de formation en place.</v>
      </c>
      <c r="D178" s="35">
        <f>Questionnaire!D179</f>
        <v>1</v>
      </c>
    </row>
    <row r="179" spans="2:4" hidden="1" x14ac:dyDescent="0.3">
      <c r="B179" s="119"/>
      <c r="C179" s="35" t="str">
        <f>Questionnaire!E180</f>
        <v>Formations ponctuelles mais non planifiées.</v>
      </c>
      <c r="D179" s="35" t="str">
        <f>Questionnaire!D180</f>
        <v/>
      </c>
    </row>
    <row r="180" spans="2:4" hidden="1" x14ac:dyDescent="0.3">
      <c r="B180" s="119"/>
      <c r="C180" s="35" t="str">
        <f>Questionnaire!E181</f>
        <v>Formations présentes mais insuffisantes pour tous.</v>
      </c>
      <c r="D180" s="35" t="str">
        <f>Questionnaire!D181</f>
        <v/>
      </c>
    </row>
    <row r="181" spans="2:4" hidden="1" x14ac:dyDescent="0.3">
      <c r="B181" s="119"/>
      <c r="C181" s="35" t="str">
        <f>Questionnaire!E182</f>
        <v>Formations régulières et développement des compétences.</v>
      </c>
      <c r="D181" s="35" t="str">
        <f>Questionnaire!D182</f>
        <v/>
      </c>
    </row>
    <row r="182" spans="2:4" hidden="1" x14ac:dyDescent="0.3">
      <c r="B182" s="119"/>
      <c r="C182" s="35" t="str">
        <f>Questionnaire!E183</f>
        <v>Plan de formation structuré et personnalisé.</v>
      </c>
      <c r="D182" s="35" t="str">
        <f>Questionnaire!D183</f>
        <v/>
      </c>
    </row>
    <row r="183" spans="2:4" hidden="1" x14ac:dyDescent="0.3">
      <c r="B183" s="119"/>
      <c r="C183" s="32" t="str">
        <f>Questionnaire!E184</f>
        <v>6Q4. Les architectes collaborent-ils efficacement entre eux et avec les autres équipes ?</v>
      </c>
      <c r="D183" s="32">
        <f>Questionnaire!D184</f>
        <v>1</v>
      </c>
    </row>
    <row r="184" spans="2:4" hidden="1" x14ac:dyDescent="0.3">
      <c r="B184" s="119"/>
      <c r="C184" s="35" t="str">
        <f>Questionnaire!E185</f>
        <v>Peu de collaboration entre architectes et autres équipes.</v>
      </c>
      <c r="D184" s="35">
        <f>Questionnaire!D185</f>
        <v>1</v>
      </c>
    </row>
    <row r="185" spans="2:4" hidden="1" x14ac:dyDescent="0.3">
      <c r="B185" s="119"/>
      <c r="C185" s="35" t="str">
        <f>Questionnaire!E186</f>
        <v>Collaboration limitée à quelques projets.</v>
      </c>
      <c r="D185" s="35" t="str">
        <f>Questionnaire!D186</f>
        <v/>
      </c>
    </row>
    <row r="186" spans="2:4" hidden="1" x14ac:dyDescent="0.3">
      <c r="B186" s="119"/>
      <c r="C186" s="35" t="str">
        <f>Questionnaire!E187</f>
        <v>Collaboration variable selon les projets.</v>
      </c>
      <c r="D186" s="35" t="str">
        <f>Questionnaire!D187</f>
        <v/>
      </c>
    </row>
    <row r="187" spans="2:4" hidden="1" x14ac:dyDescent="0.3">
      <c r="B187" s="119"/>
      <c r="C187" s="35" t="str">
        <f>Questionnaire!E188</f>
        <v>Collaboration efficace et régulière avec les autres équipes.</v>
      </c>
      <c r="D187" s="35" t="str">
        <f>Questionnaire!D188</f>
        <v/>
      </c>
    </row>
    <row r="188" spans="2:4" hidden="1" x14ac:dyDescent="0.3">
      <c r="B188" s="119"/>
      <c r="C188" s="35" t="str">
        <f>Questionnaire!E189</f>
        <v>Collaboration proactive et transversale.</v>
      </c>
      <c r="D188" s="35" t="str">
        <f>Questionnaire!D189</f>
        <v/>
      </c>
    </row>
    <row r="189" spans="2:4" x14ac:dyDescent="0.3">
      <c r="B189" s="119"/>
      <c r="C189" s="32" t="str">
        <f>Questionnaire!E190</f>
        <v>6Q5. Les architectes sont-ils reconnus et valorisés dans l’organisation ?</v>
      </c>
      <c r="D189" s="109">
        <f>Questionnaire!D190</f>
        <v>3</v>
      </c>
    </row>
    <row r="190" spans="2:4" hidden="1" x14ac:dyDescent="0.3">
      <c r="B190" s="119"/>
      <c r="C190" s="35" t="str">
        <f>Questionnaire!E191</f>
        <v>Aucune reconnaissance de la fonction architecture.</v>
      </c>
      <c r="D190" s="35" t="str">
        <f>Questionnaire!D191</f>
        <v/>
      </c>
    </row>
    <row r="191" spans="2:4" hidden="1" x14ac:dyDescent="0.3">
      <c r="B191" s="119"/>
      <c r="C191" s="35" t="str">
        <f>Questionnaire!E192</f>
        <v>Reconnaissance limitée ou ponctuelle de la fonction.</v>
      </c>
      <c r="D191" s="35" t="str">
        <f>Questionnaire!D192</f>
        <v/>
      </c>
    </row>
    <row r="192" spans="2:4" ht="15" thickBot="1" x14ac:dyDescent="0.35">
      <c r="B192" s="119"/>
      <c r="C192" s="35" t="str">
        <f>Questionnaire!E193</f>
        <v>Reconnaissance progressive mais pas institutionnalisée.</v>
      </c>
      <c r="D192" s="110">
        <f>Questionnaire!D193</f>
        <v>3</v>
      </c>
    </row>
    <row r="193" spans="2:4" ht="15" hidden="1" thickBot="1" x14ac:dyDescent="0.35">
      <c r="B193" s="119"/>
      <c r="C193" s="35" t="str">
        <f>Questionnaire!E194</f>
        <v>Reconnaissance de la fonction architecture par le management.</v>
      </c>
      <c r="D193" s="35" t="str">
        <f>Questionnaire!D194</f>
        <v/>
      </c>
    </row>
    <row r="194" spans="2:4" ht="15" hidden="1" thickBot="1" x14ac:dyDescent="0.35">
      <c r="B194" s="120"/>
      <c r="C194" s="35" t="str">
        <f>Questionnaire!E195</f>
        <v>Fonction architecture reconnue et valorisée par l’organisation.</v>
      </c>
      <c r="D194" s="35" t="str">
        <f>Questionnaire!D195</f>
        <v/>
      </c>
    </row>
    <row r="195" spans="2:4" ht="18.600000000000001" hidden="1" thickBot="1" x14ac:dyDescent="0.4">
      <c r="B195" s="37"/>
      <c r="C195" s="33" t="str">
        <f>Questionnaire!E196</f>
        <v>Architecture Content &amp; Deliverables Capability</v>
      </c>
      <c r="D195" s="33">
        <f>Questionnaire!D196</f>
        <v>4</v>
      </c>
    </row>
    <row r="196" spans="2:4" ht="15" hidden="1" thickBot="1" x14ac:dyDescent="0.35">
      <c r="B196" s="37"/>
      <c r="C196" s="34" t="str">
        <f>Questionnaire!E197</f>
        <v>Apporter de la valeur aux parties prenantes grâce à des livrables clairs et actionnables</v>
      </c>
      <c r="D196" s="34">
        <f>Questionnaire!D197</f>
        <v>0</v>
      </c>
    </row>
    <row r="197" spans="2:4" ht="15" hidden="1" thickBot="1" x14ac:dyDescent="0.35">
      <c r="B197" s="121" t="str">
        <f>VLOOKUP(C197,Recherche!$B$2:$E$226,4)</f>
        <v>7. Architecture Content &amp; Deliverables Capability</v>
      </c>
      <c r="C197" s="32" t="str">
        <f>Questionnaire!E198</f>
        <v>7Q1. Les livrables d’architecture (cartographies, modèles, roadmaps) sont-ils produits systématiquement ?</v>
      </c>
      <c r="D197" s="32">
        <f>Questionnaire!D198</f>
        <v>4</v>
      </c>
    </row>
    <row r="198" spans="2:4" ht="15" hidden="1" thickBot="1" x14ac:dyDescent="0.35">
      <c r="B198" s="119"/>
      <c r="C198" s="35" t="str">
        <f>Questionnaire!E199</f>
        <v>Aucun livrable d’architecture produit.</v>
      </c>
      <c r="D198" s="35" t="str">
        <f>Questionnaire!D199</f>
        <v/>
      </c>
    </row>
    <row r="199" spans="2:4" ht="15" hidden="1" thickBot="1" x14ac:dyDescent="0.35">
      <c r="B199" s="119"/>
      <c r="C199" s="35" t="str">
        <f>Questionnaire!E200</f>
        <v>Livrables ponctuels et limités à quelques projets.</v>
      </c>
      <c r="D199" s="35" t="str">
        <f>Questionnaire!D200</f>
        <v/>
      </c>
    </row>
    <row r="200" spans="2:4" ht="15" hidden="1" thickBot="1" x14ac:dyDescent="0.35">
      <c r="B200" s="119"/>
      <c r="C200" s="35" t="str">
        <f>Questionnaire!E201</f>
        <v>Livrables produits mais qualité et usage variables.</v>
      </c>
      <c r="D200" s="35" t="str">
        <f>Questionnaire!D201</f>
        <v/>
      </c>
    </row>
    <row r="201" spans="2:4" ht="15" hidden="1" thickBot="1" x14ac:dyDescent="0.35">
      <c r="B201" s="119"/>
      <c r="C201" s="35" t="str">
        <f>Questionnaire!E202</f>
        <v>Livrables produits systématiquement et réutilisables.</v>
      </c>
      <c r="D201" s="35">
        <f>Questionnaire!D202</f>
        <v>4</v>
      </c>
    </row>
    <row r="202" spans="2:4" ht="15" hidden="1" thickBot="1" x14ac:dyDescent="0.35">
      <c r="B202" s="119"/>
      <c r="C202" s="35" t="str">
        <f>Questionnaire!E203</f>
        <v>Livrables produits systématiquement, standardisés et automatisés.</v>
      </c>
      <c r="D202" s="35" t="str">
        <f>Questionnaire!D203</f>
        <v/>
      </c>
    </row>
    <row r="203" spans="2:4" ht="15" hidden="1" thickBot="1" x14ac:dyDescent="0.35">
      <c r="B203" s="119"/>
      <c r="C203" s="32" t="str">
        <f>Questionnaire!E204</f>
        <v>7Q2. Les livrables sont-ils compréhensibles et exploitables par les parties prenantes ?</v>
      </c>
      <c r="D203" s="32">
        <f>Questionnaire!D204</f>
        <v>4</v>
      </c>
    </row>
    <row r="204" spans="2:4" ht="15" hidden="1" thickBot="1" x14ac:dyDescent="0.35">
      <c r="B204" s="119"/>
      <c r="C204" s="35" t="str">
        <f>Questionnaire!E205</f>
        <v>Livrables inexistants ou inutilisables.</v>
      </c>
      <c r="D204" s="35" t="str">
        <f>Questionnaire!D205</f>
        <v/>
      </c>
    </row>
    <row r="205" spans="2:4" ht="15" hidden="1" thickBot="1" x14ac:dyDescent="0.35">
      <c r="B205" s="119"/>
      <c r="C205" s="35" t="str">
        <f>Questionnaire!E206</f>
        <v>Livrables peu clairs ou incomplets.</v>
      </c>
      <c r="D205" s="35" t="str">
        <f>Questionnaire!D206</f>
        <v/>
      </c>
    </row>
    <row r="206" spans="2:4" ht="15" hidden="1" thickBot="1" x14ac:dyDescent="0.35">
      <c r="B206" s="119"/>
      <c r="C206" s="35" t="str">
        <f>Questionnaire!E207</f>
        <v>Livrables compréhensibles mais perfectibles.</v>
      </c>
      <c r="D206" s="35" t="str">
        <f>Questionnaire!D207</f>
        <v/>
      </c>
    </row>
    <row r="207" spans="2:4" ht="15" hidden="1" thickBot="1" x14ac:dyDescent="0.35">
      <c r="B207" s="119"/>
      <c r="C207" s="35" t="str">
        <f>Questionnaire!E208</f>
        <v>Livrables clairs et adaptés aux besoins des parties prenantes.</v>
      </c>
      <c r="D207" s="35">
        <f>Questionnaire!D208</f>
        <v>4</v>
      </c>
    </row>
    <row r="208" spans="2:4" ht="15" hidden="1" thickBot="1" x14ac:dyDescent="0.35">
      <c r="B208" s="119"/>
      <c r="C208" s="35" t="str">
        <f>Questionnaire!E209</f>
        <v>Livrables exemplaires et adaptés à tous les usages.</v>
      </c>
      <c r="D208" s="35" t="str">
        <f>Questionnaire!D209</f>
        <v/>
      </c>
    </row>
    <row r="209" spans="2:4" ht="15" hidden="1" thickBot="1" x14ac:dyDescent="0.35">
      <c r="B209" s="119"/>
      <c r="C209" s="32" t="str">
        <f>Questionnaire!E210</f>
        <v>7Q3. Les livrables sont-ils tenus à jour et adaptés aux besoins des projets ?</v>
      </c>
      <c r="D209" s="32">
        <f>Questionnaire!D210</f>
        <v>4</v>
      </c>
    </row>
    <row r="210" spans="2:4" ht="15" hidden="1" thickBot="1" x14ac:dyDescent="0.35">
      <c r="B210" s="119"/>
      <c r="C210" s="35" t="str">
        <f>Questionnaire!E211</f>
        <v>Livrables obsolètes et non maintenus.</v>
      </c>
      <c r="D210" s="35" t="str">
        <f>Questionnaire!D211</f>
        <v/>
      </c>
    </row>
    <row r="211" spans="2:4" ht="15" hidden="1" thickBot="1" x14ac:dyDescent="0.35">
      <c r="B211" s="119"/>
      <c r="C211" s="35" t="str">
        <f>Questionnaire!E212</f>
        <v>Mises à jour irrégulières et manuelles.</v>
      </c>
      <c r="D211" s="35" t="str">
        <f>Questionnaire!D212</f>
        <v/>
      </c>
    </row>
    <row r="212" spans="2:4" ht="15" hidden="1" thickBot="1" x14ac:dyDescent="0.35">
      <c r="B212" s="119"/>
      <c r="C212" s="35" t="str">
        <f>Questionnaire!E213</f>
        <v>Mises à jour effectuées mais sans planification.</v>
      </c>
      <c r="D212" s="35" t="str">
        <f>Questionnaire!D213</f>
        <v/>
      </c>
    </row>
    <row r="213" spans="2:4" ht="15" hidden="1" thickBot="1" x14ac:dyDescent="0.35">
      <c r="B213" s="119"/>
      <c r="C213" s="35" t="str">
        <f>Questionnaire!E214</f>
        <v>Livrables mis à jour régulièrement.</v>
      </c>
      <c r="D213" s="35">
        <f>Questionnaire!D214</f>
        <v>4</v>
      </c>
    </row>
    <row r="214" spans="2:4" ht="15" hidden="1" thickBot="1" x14ac:dyDescent="0.35">
      <c r="B214" s="119"/>
      <c r="C214" s="35" t="str">
        <f>Questionnaire!E215</f>
        <v>Livrables mis à jour en temps réel.</v>
      </c>
      <c r="D214" s="35" t="str">
        <f>Questionnaire!D215</f>
        <v/>
      </c>
    </row>
    <row r="215" spans="2:4" ht="15" hidden="1" thickBot="1" x14ac:dyDescent="0.35">
      <c r="B215" s="119"/>
      <c r="C215" s="32" t="str">
        <f>Questionnaire!E216</f>
        <v>7Q4. Existe-t-il une bibliothèque ou un référentiel des livrables partagés ?</v>
      </c>
      <c r="D215" s="32">
        <f>Questionnaire!D216</f>
        <v>4</v>
      </c>
    </row>
    <row r="216" spans="2:4" ht="15" hidden="1" thickBot="1" x14ac:dyDescent="0.35">
      <c r="B216" s="119"/>
      <c r="C216" s="35" t="str">
        <f>Questionnaire!E217</f>
        <v>Aucun référentiel partagé.</v>
      </c>
      <c r="D216" s="35" t="str">
        <f>Questionnaire!D217</f>
        <v/>
      </c>
    </row>
    <row r="217" spans="2:4" ht="15" hidden="1" thickBot="1" x14ac:dyDescent="0.35">
      <c r="B217" s="119"/>
      <c r="C217" s="35" t="str">
        <f>Questionnaire!E218</f>
        <v>Référentiel partiel et non centralisé.</v>
      </c>
      <c r="D217" s="35" t="str">
        <f>Questionnaire!D218</f>
        <v/>
      </c>
    </row>
    <row r="218" spans="2:4" ht="15" hidden="1" thickBot="1" x14ac:dyDescent="0.35">
      <c r="B218" s="119"/>
      <c r="C218" s="35" t="str">
        <f>Questionnaire!E219</f>
        <v>Référentiel disponible mais peu utilisé.</v>
      </c>
      <c r="D218" s="35" t="str">
        <f>Questionnaire!D219</f>
        <v/>
      </c>
    </row>
    <row r="219" spans="2:4" ht="15" hidden="1" thickBot="1" x14ac:dyDescent="0.35">
      <c r="B219" s="119"/>
      <c r="C219" s="35" t="str">
        <f>Questionnaire!E220</f>
        <v>Référentiel partagé et exploité.</v>
      </c>
      <c r="D219" s="35">
        <f>Questionnaire!D220</f>
        <v>4</v>
      </c>
    </row>
    <row r="220" spans="2:4" ht="15" hidden="1" thickBot="1" x14ac:dyDescent="0.35">
      <c r="B220" s="119"/>
      <c r="C220" s="35" t="str">
        <f>Questionnaire!E221</f>
        <v>Référentiel collaboratif et totalement intégré.</v>
      </c>
      <c r="D220" s="35" t="str">
        <f>Questionnaire!D221</f>
        <v/>
      </c>
    </row>
    <row r="221" spans="2:4" ht="15" hidden="1" thickBot="1" x14ac:dyDescent="0.35">
      <c r="B221" s="119"/>
      <c r="C221" s="32" t="str">
        <f>Questionnaire!E222</f>
        <v>7Q5. Les livrables sont-ils intégrés dans les processus de gouvernance de l’entreprise ?</v>
      </c>
      <c r="D221" s="32">
        <f>Questionnaire!D222</f>
        <v>4</v>
      </c>
    </row>
    <row r="222" spans="2:4" ht="15" hidden="1" thickBot="1" x14ac:dyDescent="0.35">
      <c r="B222" s="119"/>
      <c r="C222" s="35" t="str">
        <f>Questionnaire!E223</f>
        <v>Livrables non intégrés aux processus.</v>
      </c>
      <c r="D222" s="35" t="str">
        <f>Questionnaire!D223</f>
        <v/>
      </c>
    </row>
    <row r="223" spans="2:4" ht="15" hidden="1" thickBot="1" x14ac:dyDescent="0.35">
      <c r="B223" s="119"/>
      <c r="C223" s="35" t="str">
        <f>Questionnaire!E224</f>
        <v>Intégration limitée dans certains projets pilotes.</v>
      </c>
      <c r="D223" s="35" t="str">
        <f>Questionnaire!D224</f>
        <v/>
      </c>
    </row>
    <row r="224" spans="2:4" ht="15" hidden="1" thickBot="1" x14ac:dyDescent="0.35">
      <c r="B224" s="119"/>
      <c r="C224" s="35" t="str">
        <f>Questionnaire!E225</f>
        <v>Intégration partielle aux processus.</v>
      </c>
      <c r="D224" s="35" t="str">
        <f>Questionnaire!D225</f>
        <v/>
      </c>
    </row>
    <row r="225" spans="2:4" ht="15" hidden="1" thickBot="1" x14ac:dyDescent="0.35">
      <c r="B225" s="119"/>
      <c r="C225" s="35" t="str">
        <f>Questionnaire!E226</f>
        <v>Livrables intégrés aux processus projets.</v>
      </c>
      <c r="D225" s="35">
        <f>Questionnaire!D226</f>
        <v>4</v>
      </c>
    </row>
    <row r="226" spans="2:4" ht="15" hidden="1" thickBot="1" x14ac:dyDescent="0.35">
      <c r="B226" s="119"/>
      <c r="C226" s="40" t="str">
        <f>Questionnaire!E227</f>
        <v>Livrables institutionnalisés dans tous les processus.</v>
      </c>
      <c r="D226" s="40" t="str">
        <f>Questionnaire!D227</f>
        <v/>
      </c>
    </row>
    <row r="227" spans="2:4" ht="18.600000000000001" hidden="1" thickBot="1" x14ac:dyDescent="0.4">
      <c r="B227" s="49"/>
      <c r="C227" s="50" t="str">
        <f>Questionnaire!E228</f>
        <v>Architecture Metrics Measurement Capability</v>
      </c>
      <c r="D227" s="51">
        <f>Questionnaire!D228</f>
        <v>2.2000000000000002</v>
      </c>
    </row>
    <row r="228" spans="2:4" ht="15" hidden="1" thickBot="1" x14ac:dyDescent="0.35">
      <c r="B228" s="37"/>
      <c r="C228" s="45" t="str">
        <f>Questionnaire!E229</f>
        <v>Piloter la performance de l’architecture et démontrer sa valeur</v>
      </c>
      <c r="D228" s="45">
        <f>Questionnaire!D229</f>
        <v>0</v>
      </c>
    </row>
    <row r="229" spans="2:4" x14ac:dyDescent="0.3">
      <c r="B229" s="121" t="str">
        <f>VLOOKUP(C229,Recherche!$B$2:$E$226,4)</f>
        <v>8. Architecture Metrics Measurement Capability</v>
      </c>
      <c r="C229" s="32" t="str">
        <f>Questionnaire!E230</f>
        <v>8Q1. Des indicateurs de performance pour l’architecture sont-ils définis et suivis ?</v>
      </c>
      <c r="D229" s="109">
        <f>Questionnaire!D230</f>
        <v>3</v>
      </c>
    </row>
    <row r="230" spans="2:4" hidden="1" x14ac:dyDescent="0.3">
      <c r="B230" s="119"/>
      <c r="C230" s="35" t="str">
        <f>Questionnaire!E231</f>
        <v>Aucun indicateur de performance défini.</v>
      </c>
      <c r="D230" s="35" t="str">
        <f>Questionnaire!D231</f>
        <v/>
      </c>
    </row>
    <row r="231" spans="2:4" hidden="1" x14ac:dyDescent="0.3">
      <c r="B231" s="119"/>
      <c r="C231" s="35" t="str">
        <f>Questionnaire!E232</f>
        <v>Indicateurs envisagés mais non déployés.</v>
      </c>
      <c r="D231" s="35" t="str">
        <f>Questionnaire!D232</f>
        <v/>
      </c>
    </row>
    <row r="232" spans="2:4" x14ac:dyDescent="0.3">
      <c r="B232" s="119"/>
      <c r="C232" s="35" t="str">
        <f>Questionnaire!E233</f>
        <v>Indicateurs définis mais usage limité.</v>
      </c>
      <c r="D232" s="110">
        <f>Questionnaire!D233</f>
        <v>3</v>
      </c>
    </row>
    <row r="233" spans="2:4" hidden="1" x14ac:dyDescent="0.3">
      <c r="B233" s="119"/>
      <c r="C233" s="35" t="str">
        <f>Questionnaire!E234</f>
        <v>Indicateurs définis et suivis régulièrement.</v>
      </c>
      <c r="D233" s="35" t="str">
        <f>Questionnaire!D234</f>
        <v/>
      </c>
    </row>
    <row r="234" spans="2:4" hidden="1" x14ac:dyDescent="0.3">
      <c r="B234" s="119"/>
      <c r="C234" s="35" t="str">
        <f>Questionnaire!E235</f>
        <v>Indicateurs intégrés dans la gouvernance stratégique.</v>
      </c>
      <c r="D234" s="35" t="str">
        <f>Questionnaire!D235</f>
        <v/>
      </c>
    </row>
    <row r="235" spans="2:4" hidden="1" x14ac:dyDescent="0.3">
      <c r="B235" s="119"/>
      <c r="C235" s="32" t="str">
        <f>Questionnaire!E236</f>
        <v>8Q2. Mesurez-vous la conformité aux principes et standards d’architecture ?</v>
      </c>
      <c r="D235" s="32">
        <f>Questionnaire!D236</f>
        <v>2</v>
      </c>
    </row>
    <row r="236" spans="2:4" hidden="1" x14ac:dyDescent="0.3">
      <c r="B236" s="119"/>
      <c r="C236" s="35" t="str">
        <f>Questionnaire!E237</f>
        <v>Aucune mesure de la conformité aux principes.</v>
      </c>
      <c r="D236" s="35" t="str">
        <f>Questionnaire!D237</f>
        <v/>
      </c>
    </row>
    <row r="237" spans="2:4" hidden="1" x14ac:dyDescent="0.3">
      <c r="B237" s="119"/>
      <c r="C237" s="35" t="str">
        <f>Questionnaire!E238</f>
        <v>Conformité mesurée de manière ponctuelle.</v>
      </c>
      <c r="D237" s="35">
        <f>Questionnaire!D238</f>
        <v>2</v>
      </c>
    </row>
    <row r="238" spans="2:4" hidden="1" x14ac:dyDescent="0.3">
      <c r="B238" s="119"/>
      <c r="C238" s="35" t="str">
        <f>Questionnaire!E239</f>
        <v>Conformité mesurée partiellement.</v>
      </c>
      <c r="D238" s="35" t="str">
        <f>Questionnaire!D239</f>
        <v/>
      </c>
    </row>
    <row r="239" spans="2:4" hidden="1" x14ac:dyDescent="0.3">
      <c r="B239" s="119"/>
      <c r="C239" s="35" t="str">
        <f>Questionnaire!E240</f>
        <v>Conformité contrôlée et pilotée.</v>
      </c>
      <c r="D239" s="35" t="str">
        <f>Questionnaire!D240</f>
        <v/>
      </c>
    </row>
    <row r="240" spans="2:4" hidden="1" x14ac:dyDescent="0.3">
      <c r="B240" s="119"/>
      <c r="C240" s="40" t="str">
        <f>Questionnaire!E241</f>
        <v>Conformité et impact mesurés en temps réel.</v>
      </c>
      <c r="D240" s="40" t="str">
        <f>Questionnaire!D241</f>
        <v/>
      </c>
    </row>
    <row r="241" spans="2:4" ht="15" hidden="1" thickBot="1" x14ac:dyDescent="0.35">
      <c r="B241" s="122"/>
      <c r="C241" s="52" t="str">
        <f>Questionnaire!E242</f>
        <v>8Q3. L’impact de l’architecture sur les projets est-il évalué régulièrement (valeur ajoutée, réutilisation, etc.) ?</v>
      </c>
      <c r="D241" s="53">
        <f>Questionnaire!D242</f>
        <v>2</v>
      </c>
    </row>
    <row r="242" spans="2:4" hidden="1" x14ac:dyDescent="0.3">
      <c r="B242" s="119"/>
      <c r="C242" s="44" t="str">
        <f>Questionnaire!E243</f>
        <v>Aucun suivi d’impact de l’architecture sur les projets.</v>
      </c>
      <c r="D242" s="44" t="str">
        <f>Questionnaire!D243</f>
        <v/>
      </c>
    </row>
    <row r="243" spans="2:4" hidden="1" x14ac:dyDescent="0.3">
      <c r="B243" s="119"/>
      <c r="C243" s="40" t="str">
        <f>Questionnaire!E244</f>
        <v>Impact évalué au cas par cas.</v>
      </c>
      <c r="D243" s="40">
        <f>Questionnaire!D244</f>
        <v>2</v>
      </c>
    </row>
    <row r="244" spans="2:4" ht="15" hidden="1" thickBot="1" x14ac:dyDescent="0.35">
      <c r="B244" s="122"/>
      <c r="C244" s="54" t="str">
        <f>Questionnaire!E245</f>
        <v>Impact évalué mais pas systématiquement.</v>
      </c>
      <c r="D244" s="55" t="str">
        <f>Questionnaire!D245</f>
        <v/>
      </c>
    </row>
    <row r="245" spans="2:4" hidden="1" x14ac:dyDescent="0.3">
      <c r="B245" s="119"/>
      <c r="C245" s="44" t="str">
        <f>Questionnaire!E246</f>
        <v>Impact évalué avec retour d’expérience.</v>
      </c>
      <c r="D245" s="44" t="str">
        <f>Questionnaire!D246</f>
        <v/>
      </c>
    </row>
    <row r="246" spans="2:4" hidden="1" x14ac:dyDescent="0.3">
      <c r="B246" s="119"/>
      <c r="C246" s="35" t="str">
        <f>Questionnaire!E247</f>
        <v>Impact de l’architecture quantifié et piloté.</v>
      </c>
      <c r="D246" s="35" t="str">
        <f>Questionnaire!D247</f>
        <v/>
      </c>
    </row>
    <row r="247" spans="2:4" hidden="1" x14ac:dyDescent="0.3">
      <c r="B247" s="119"/>
      <c r="C247" s="32" t="str">
        <f>Questionnaire!E248</f>
        <v>8Q4. Les résultats des indicateurs sont-ils partagés avec les parties prenantes ?</v>
      </c>
      <c r="D247" s="32">
        <f>Questionnaire!D248</f>
        <v>2</v>
      </c>
    </row>
    <row r="248" spans="2:4" hidden="1" x14ac:dyDescent="0.3">
      <c r="B248" s="119"/>
      <c r="C248" s="35" t="str">
        <f>Questionnaire!E249</f>
        <v>Aucun partage des résultats avec les parties prenantes.</v>
      </c>
      <c r="D248" s="35" t="str">
        <f>Questionnaire!D249</f>
        <v/>
      </c>
    </row>
    <row r="249" spans="2:4" hidden="1" x14ac:dyDescent="0.3">
      <c r="B249" s="119"/>
      <c r="C249" s="35" t="str">
        <f>Questionnaire!E250</f>
        <v>Résultats partagés de façon informelle.</v>
      </c>
      <c r="D249" s="35">
        <f>Questionnaire!D250</f>
        <v>2</v>
      </c>
    </row>
    <row r="250" spans="2:4" hidden="1" x14ac:dyDescent="0.3">
      <c r="B250" s="119"/>
      <c r="C250" s="35" t="str">
        <f>Questionnaire!E251</f>
        <v>Résultats partagés à certains acteurs seulement.</v>
      </c>
      <c r="D250" s="35" t="str">
        <f>Questionnaire!D251</f>
        <v/>
      </c>
    </row>
    <row r="251" spans="2:4" hidden="1" x14ac:dyDescent="0.3">
      <c r="B251" s="119"/>
      <c r="C251" s="35" t="str">
        <f>Questionnaire!E252</f>
        <v>Résultats partagés de façon transparente.</v>
      </c>
      <c r="D251" s="35" t="str">
        <f>Questionnaire!D252</f>
        <v/>
      </c>
    </row>
    <row r="252" spans="2:4" hidden="1" x14ac:dyDescent="0.3">
      <c r="B252" s="119"/>
      <c r="C252" s="35" t="str">
        <f>Questionnaire!E253</f>
        <v>Résultats partagés proactivement et valorisés.</v>
      </c>
      <c r="D252" s="35" t="str">
        <f>Questionnaire!D253</f>
        <v/>
      </c>
    </row>
    <row r="253" spans="2:4" hidden="1" x14ac:dyDescent="0.3">
      <c r="B253" s="119"/>
      <c r="C253" s="32" t="str">
        <f>Questionnaire!E254</f>
        <v>8Q5. Les métriques servent-elles à piloter l’amélioration continue des pratiques d’architecture ?</v>
      </c>
      <c r="D253" s="32">
        <f>Questionnaire!D254</f>
        <v>2</v>
      </c>
    </row>
    <row r="254" spans="2:4" hidden="1" x14ac:dyDescent="0.3">
      <c r="B254" s="119"/>
      <c r="C254" s="35" t="str">
        <f>Questionnaire!E255</f>
        <v>Aucune démarche d’amélioration continue basée sur des indicateurs.</v>
      </c>
      <c r="D254" s="35" t="str">
        <f>Questionnaire!D255</f>
        <v/>
      </c>
    </row>
    <row r="255" spans="2:4" hidden="1" x14ac:dyDescent="0.3">
      <c r="B255" s="119"/>
      <c r="C255" s="35" t="str">
        <f>Questionnaire!E256</f>
        <v>Démarche d’amélioration en réflexion seulement.</v>
      </c>
      <c r="D255" s="35">
        <f>Questionnaire!D256</f>
        <v>2</v>
      </c>
    </row>
    <row r="256" spans="2:4" hidden="1" x14ac:dyDescent="0.3">
      <c r="B256" s="119"/>
      <c r="C256" s="35" t="str">
        <f>Questionnaire!E257</f>
        <v>Amélioration ponctuelle des pratiques.</v>
      </c>
      <c r="D256" s="35" t="str">
        <f>Questionnaire!D257</f>
        <v/>
      </c>
    </row>
    <row r="257" spans="2:4" hidden="1" x14ac:dyDescent="0.3">
      <c r="B257" s="119"/>
      <c r="C257" s="35" t="str">
        <f>Questionnaire!E258</f>
        <v>Amélioration continue pilotée par les indicateurs.</v>
      </c>
      <c r="D257" s="35" t="str">
        <f>Questionnaire!D258</f>
        <v/>
      </c>
    </row>
    <row r="258" spans="2:4" ht="15" hidden="1" thickBot="1" x14ac:dyDescent="0.35">
      <c r="B258" s="120"/>
      <c r="C258" s="35" t="str">
        <f>Questionnaire!E259</f>
        <v>Amélioration continue institutionnalisée et mesurée.</v>
      </c>
      <c r="D258" s="35" t="str">
        <f>Questionnaire!D259</f>
        <v/>
      </c>
    </row>
    <row r="259" spans="2:4" ht="18.600000000000001" thickBot="1" x14ac:dyDescent="0.4">
      <c r="B259" s="37"/>
      <c r="C259" s="33" t="str">
        <f>Questionnaire!E260</f>
        <v>Organisational Capability</v>
      </c>
      <c r="D259" s="108">
        <f>Questionnaire!D260</f>
        <v>3.4</v>
      </c>
    </row>
    <row r="260" spans="2:4" ht="15" hidden="1" thickBot="1" x14ac:dyDescent="0.35">
      <c r="B260" s="37"/>
      <c r="C260" s="34" t="str">
        <f>Questionnaire!E261</f>
        <v>La capacité de l’organisation à soutenir et institutionnaliser l’architecture d’entreprise dans sa gouvernance globale</v>
      </c>
      <c r="D260" s="34">
        <f>Questionnaire!D261</f>
        <v>0</v>
      </c>
    </row>
    <row r="261" spans="2:4" x14ac:dyDescent="0.3">
      <c r="B261" s="121" t="str">
        <f>VLOOKUP(C261,Recherche!$B$2:$E$226,4)</f>
        <v>9. Organisational Capability</v>
      </c>
      <c r="C261" s="32" t="str">
        <f>Questionnaire!E262</f>
        <v>9Q1. L’architecture est-elle reconnue comme une fonction stratégique par la direction ?</v>
      </c>
      <c r="D261" s="109">
        <f>Questionnaire!D262</f>
        <v>3</v>
      </c>
    </row>
    <row r="262" spans="2:4" hidden="1" x14ac:dyDescent="0.3">
      <c r="B262" s="119"/>
      <c r="C262" s="35" t="str">
        <f>Questionnaire!E263</f>
        <v>L’architecture est perçue comme une fonction isolée et non stratégique.</v>
      </c>
      <c r="D262" s="35" t="str">
        <f>Questionnaire!D263</f>
        <v/>
      </c>
    </row>
    <row r="263" spans="2:4" hidden="1" x14ac:dyDescent="0.3">
      <c r="B263" s="119"/>
      <c r="C263" s="35" t="str">
        <f>Questionnaire!E264</f>
        <v>Architecture reconnue ponctuellement mais sans ancrage stratégique.</v>
      </c>
      <c r="D263" s="35" t="str">
        <f>Questionnaire!D264</f>
        <v/>
      </c>
    </row>
    <row r="264" spans="2:4" ht="15" thickBot="1" x14ac:dyDescent="0.35">
      <c r="B264" s="119"/>
      <c r="C264" s="35" t="str">
        <f>Questionnaire!E265</f>
        <v>Architecture reconnue mais pas encore stratégique.</v>
      </c>
      <c r="D264" s="110">
        <f>Questionnaire!D265</f>
        <v>3</v>
      </c>
    </row>
    <row r="265" spans="2:4" ht="15" hidden="1" thickBot="1" x14ac:dyDescent="0.35">
      <c r="B265" s="119"/>
      <c r="C265" s="35" t="str">
        <f>Questionnaire!E266</f>
        <v>Architecture reconnue comme fonction stratégique.</v>
      </c>
      <c r="D265" s="35" t="str">
        <f>Questionnaire!D266</f>
        <v/>
      </c>
    </row>
    <row r="266" spans="2:4" ht="15" hidden="1" thickBot="1" x14ac:dyDescent="0.35">
      <c r="B266" s="119"/>
      <c r="C266" s="35" t="str">
        <f>Questionnaire!E267</f>
        <v>Architecture institutionnalisée et stratégique dans l’organisation.</v>
      </c>
      <c r="D266" s="35" t="str">
        <f>Questionnaire!D267</f>
        <v/>
      </c>
    </row>
    <row r="267" spans="2:4" ht="15" hidden="1" thickBot="1" x14ac:dyDescent="0.35">
      <c r="B267" s="119"/>
      <c r="C267" s="32" t="str">
        <f>Questionnaire!E268</f>
        <v>9Q2. L’architecture est-elle intégrée dans les processus de gouvernance des projets (comités, décisions, etc.) ?</v>
      </c>
      <c r="D267" s="32">
        <f>Questionnaire!D268</f>
        <v>4</v>
      </c>
    </row>
    <row r="268" spans="2:4" ht="15" hidden="1" thickBot="1" x14ac:dyDescent="0.35">
      <c r="B268" s="119"/>
      <c r="C268" s="35" t="str">
        <f>Questionnaire!E269</f>
        <v>Aucune intégration dans les processus projets.</v>
      </c>
      <c r="D268" s="35" t="str">
        <f>Questionnaire!D269</f>
        <v/>
      </c>
    </row>
    <row r="269" spans="2:4" ht="15" hidden="1" thickBot="1" x14ac:dyDescent="0.35">
      <c r="B269" s="119"/>
      <c r="C269" s="35" t="str">
        <f>Questionnaire!E270</f>
        <v>Intégration partielle dans certains projets.</v>
      </c>
      <c r="D269" s="35" t="str">
        <f>Questionnaire!D270</f>
        <v/>
      </c>
    </row>
    <row r="270" spans="2:4" ht="15" hidden="1" thickBot="1" x14ac:dyDescent="0.35">
      <c r="B270" s="119"/>
      <c r="C270" s="35" t="str">
        <f>Questionnaire!E271</f>
        <v>Intégration dans certains processus projets mais pas tous.</v>
      </c>
      <c r="D270" s="35" t="str">
        <f>Questionnaire!D271</f>
        <v/>
      </c>
    </row>
    <row r="271" spans="2:4" ht="15" hidden="1" thickBot="1" x14ac:dyDescent="0.35">
      <c r="B271" s="119"/>
      <c r="C271" s="35" t="str">
        <f>Questionnaire!E272</f>
        <v>Intégration systématique dans la gouvernance projets.</v>
      </c>
      <c r="D271" s="35">
        <f>Questionnaire!D272</f>
        <v>4</v>
      </c>
    </row>
    <row r="272" spans="2:4" ht="15" hidden="1" thickBot="1" x14ac:dyDescent="0.35">
      <c r="B272" s="119"/>
      <c r="C272" s="35" t="str">
        <f>Questionnaire!E273</f>
        <v>Intégration totale et systématique dans la gouvernance projets.</v>
      </c>
      <c r="D272" s="35" t="str">
        <f>Questionnaire!D273</f>
        <v/>
      </c>
    </row>
    <row r="273" spans="2:4" ht="15" hidden="1" thickBot="1" x14ac:dyDescent="0.35">
      <c r="B273" s="119"/>
      <c r="C273" s="32" t="str">
        <f>Questionnaire!E274</f>
        <v>9Q3. Les architectes sont-ils impliqués dès les phases amont des projets ?</v>
      </c>
      <c r="D273" s="32">
        <f>Questionnaire!D274</f>
        <v>4</v>
      </c>
    </row>
    <row r="274" spans="2:4" ht="15" hidden="1" thickBot="1" x14ac:dyDescent="0.35">
      <c r="B274" s="119"/>
      <c r="C274" s="35" t="str">
        <f>Questionnaire!E275</f>
        <v>Architectes consultés trop tardivement ou jamais.</v>
      </c>
      <c r="D274" s="35" t="str">
        <f>Questionnaire!D275</f>
        <v/>
      </c>
    </row>
    <row r="275" spans="2:4" ht="15" hidden="1" thickBot="1" x14ac:dyDescent="0.35">
      <c r="B275" s="119"/>
      <c r="C275" s="35" t="str">
        <f>Questionnaire!E276</f>
        <v>Architectes impliqués sur certains projets mais rarement en amont.</v>
      </c>
      <c r="D275" s="35" t="str">
        <f>Questionnaire!D276</f>
        <v/>
      </c>
    </row>
    <row r="276" spans="2:4" ht="15" hidden="1" thickBot="1" x14ac:dyDescent="0.35">
      <c r="B276" s="119"/>
      <c r="C276" s="35" t="str">
        <f>Questionnaire!E277</f>
        <v>Architectes impliqués plus régulièrement mais sans systématisme.</v>
      </c>
      <c r="D276" s="35" t="str">
        <f>Questionnaire!D277</f>
        <v/>
      </c>
    </row>
    <row r="277" spans="2:4" ht="15" hidden="1" thickBot="1" x14ac:dyDescent="0.35">
      <c r="B277" s="119"/>
      <c r="C277" s="35" t="str">
        <f>Questionnaire!E278</f>
        <v>Architectes impliqués dès les phases amont.</v>
      </c>
      <c r="D277" s="35">
        <f>Questionnaire!D278</f>
        <v>4</v>
      </c>
    </row>
    <row r="278" spans="2:4" ht="15" hidden="1" thickBot="1" x14ac:dyDescent="0.35">
      <c r="B278" s="119"/>
      <c r="C278" s="35" t="str">
        <f>Questionnaire!E279</f>
        <v>Architectes moteurs dès la conception stratégique.</v>
      </c>
      <c r="D278" s="35" t="str">
        <f>Questionnaire!D279</f>
        <v/>
      </c>
    </row>
    <row r="279" spans="2:4" ht="15" hidden="1" thickBot="1" x14ac:dyDescent="0.35">
      <c r="B279" s="119"/>
      <c r="C279" s="32" t="str">
        <f>Questionnaire!E280</f>
        <v>9Q4. L’architecture collabore-t-elle efficacement avec les autres fonctions clés (PMO, stratégie, sécurité, etc.) ?</v>
      </c>
      <c r="D279" s="32">
        <f>Questionnaire!D280</f>
        <v>4</v>
      </c>
    </row>
    <row r="280" spans="2:4" ht="15" hidden="1" thickBot="1" x14ac:dyDescent="0.35">
      <c r="B280" s="119"/>
      <c r="C280" s="35" t="str">
        <f>Questionnaire!E281</f>
        <v>Peu de collaboration avec les autres fonctions clés.</v>
      </c>
      <c r="D280" s="35" t="str">
        <f>Questionnaire!D281</f>
        <v/>
      </c>
    </row>
    <row r="281" spans="2:4" ht="15" hidden="1" thickBot="1" x14ac:dyDescent="0.35">
      <c r="B281" s="119"/>
      <c r="C281" s="35" t="str">
        <f>Questionnaire!E282</f>
        <v>Collaboration limitée et ponctuelle.</v>
      </c>
      <c r="D281" s="35" t="str">
        <f>Questionnaire!D282</f>
        <v/>
      </c>
    </row>
    <row r="282" spans="2:4" ht="15" hidden="1" thickBot="1" x14ac:dyDescent="0.35">
      <c r="B282" s="119"/>
      <c r="C282" s="35" t="str">
        <f>Questionnaire!E283</f>
        <v>Collaboration en développement avec les autres fonctions clés.</v>
      </c>
      <c r="D282" s="35" t="str">
        <f>Questionnaire!D283</f>
        <v/>
      </c>
    </row>
    <row r="283" spans="2:4" ht="15" hidden="1" thickBot="1" x14ac:dyDescent="0.35">
      <c r="B283" s="119"/>
      <c r="C283" s="35" t="str">
        <f>Questionnaire!E284</f>
        <v>Collaboration fluide avec les autres fonctions clés.</v>
      </c>
      <c r="D283" s="35">
        <f>Questionnaire!D284</f>
        <v>4</v>
      </c>
    </row>
    <row r="284" spans="2:4" ht="15" hidden="1" thickBot="1" x14ac:dyDescent="0.35">
      <c r="B284" s="119"/>
      <c r="C284" s="35" t="str">
        <f>Questionnaire!E285</f>
        <v>Collaboration proactive et permanente.</v>
      </c>
      <c r="D284" s="35" t="str">
        <f>Questionnaire!D285</f>
        <v/>
      </c>
    </row>
    <row r="285" spans="2:4" ht="15" hidden="1" thickBot="1" x14ac:dyDescent="0.35">
      <c r="B285" s="119"/>
      <c r="C285" s="32" t="str">
        <f>Questionnaire!E286</f>
        <v>9Q5. Les changements organisationnels prennent-ils systématiquement en compte les impacts sur l’architecture ?</v>
      </c>
      <c r="D285" s="32">
        <f>Questionnaire!D286</f>
        <v>2</v>
      </c>
    </row>
    <row r="286" spans="2:4" ht="15" hidden="1" thickBot="1" x14ac:dyDescent="0.35">
      <c r="B286" s="119"/>
      <c r="C286" s="35" t="str">
        <f>Questionnaire!E287</f>
        <v>Les changements organisationnels ignorent l’architecture.</v>
      </c>
      <c r="D286" s="35" t="str">
        <f>Questionnaire!D287</f>
        <v/>
      </c>
    </row>
    <row r="287" spans="2:4" ht="15" hidden="1" thickBot="1" x14ac:dyDescent="0.35">
      <c r="B287" s="119"/>
      <c r="C287" s="35" t="str">
        <f>Questionnaire!E288</f>
        <v>Changements organisationnels rarement synchronisés avec l’architecture.</v>
      </c>
      <c r="D287" s="35">
        <f>Questionnaire!D288</f>
        <v>2</v>
      </c>
    </row>
    <row r="288" spans="2:4" ht="15" hidden="1" thickBot="1" x14ac:dyDescent="0.35">
      <c r="B288" s="119"/>
      <c r="C288" s="35" t="str">
        <f>Questionnaire!E289</f>
        <v>Prise en compte progressive des impacts organisationnels.</v>
      </c>
      <c r="D288" s="35" t="str">
        <f>Questionnaire!D289</f>
        <v/>
      </c>
    </row>
    <row r="289" spans="2:4" ht="15" hidden="1" thickBot="1" x14ac:dyDescent="0.35">
      <c r="B289" s="119"/>
      <c r="C289" s="35" t="str">
        <f>Questionnaire!E290</f>
        <v>Changements organisationnels analysés pour les impacts sur l’architecture.</v>
      </c>
      <c r="D289" s="35" t="str">
        <f>Questionnaire!D290</f>
        <v/>
      </c>
    </row>
    <row r="290" spans="2:4" ht="15" hidden="1" thickBot="1" x14ac:dyDescent="0.35">
      <c r="B290" s="119"/>
      <c r="C290" s="40" t="str">
        <f>Questionnaire!E291</f>
        <v>Changements organisationnels systématiquement synchronisés avec l’architecture.</v>
      </c>
      <c r="D290" s="40" t="str">
        <f>Questionnaire!D291</f>
        <v/>
      </c>
    </row>
    <row r="291" spans="2:4" ht="15" thickBot="1" x14ac:dyDescent="0.35">
      <c r="B291" s="46"/>
      <c r="C291" s="56"/>
      <c r="D291" s="48"/>
    </row>
  </sheetData>
  <autoFilter ref="C2:D290" xr:uid="{6E08A4C5-1378-4367-B75B-0052442DD9FE}">
    <filterColumn colId="1">
      <customFilters and="1">
        <customFilter operator="greaterThanOrEqual" val="3"/>
        <customFilter operator="lessThan" val="4"/>
      </customFilters>
    </filterColumn>
  </autoFilter>
  <mergeCells count="9">
    <mergeCell ref="B197:B226"/>
    <mergeCell ref="B229:B258"/>
    <mergeCell ref="B261:B290"/>
    <mergeCell ref="B5:B34"/>
    <mergeCell ref="B37:B66"/>
    <mergeCell ref="B69:B98"/>
    <mergeCell ref="B101:B130"/>
    <mergeCell ref="B133:B162"/>
    <mergeCell ref="B165:B1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opLeftCell="A198" workbookViewId="0">
      <selection activeCell="B222" sqref="B222:B226"/>
    </sheetView>
  </sheetViews>
  <sheetFormatPr baseColWidth="10" defaultColWidth="8.88671875" defaultRowHeight="14.4" x14ac:dyDescent="0.3"/>
  <cols>
    <col min="1" max="1" width="42.6640625" bestFit="1" customWidth="1"/>
    <col min="2" max="2" width="56.33203125" customWidth="1"/>
    <col min="3" max="3" width="0" hidden="1" customWidth="1"/>
    <col min="4" max="4" width="98.44140625" hidden="1" customWidth="1"/>
    <col min="5" max="5" width="30.33203125" customWidth="1"/>
  </cols>
  <sheetData>
    <row r="1" spans="1:5" x14ac:dyDescent="0.3">
      <c r="A1" s="1" t="s">
        <v>308</v>
      </c>
      <c r="B1" s="1" t="s">
        <v>309</v>
      </c>
      <c r="C1" s="1" t="s">
        <v>310</v>
      </c>
      <c r="D1" s="1" t="s">
        <v>311</v>
      </c>
      <c r="E1" s="4" t="s">
        <v>312</v>
      </c>
    </row>
    <row r="2" spans="1:5" s="5" customFormat="1" x14ac:dyDescent="0.3">
      <c r="A2" s="5" t="s">
        <v>313</v>
      </c>
      <c r="B2" s="5" t="s">
        <v>8</v>
      </c>
      <c r="C2" s="5">
        <v>1</v>
      </c>
      <c r="D2" s="5" t="s">
        <v>9</v>
      </c>
      <c r="E2" s="5" t="str">
        <f>C2&amp;"-"&amp;D2</f>
        <v>1-Aucun comité d’architecture ni processus formel ; décisions au cas par cas.</v>
      </c>
    </row>
    <row r="3" spans="1:5" s="5" customFormat="1" x14ac:dyDescent="0.3">
      <c r="A3" s="5" t="s">
        <v>313</v>
      </c>
      <c r="B3" s="5" t="s">
        <v>8</v>
      </c>
      <c r="C3" s="5">
        <v>2</v>
      </c>
      <c r="D3" s="5" t="s">
        <v>10</v>
      </c>
      <c r="E3" s="5" t="str">
        <f t="shared" ref="E3:E66" si="0">C3&amp;"-"&amp;D3</f>
        <v>2-Un comité est envisagé mais pas encore actif ; peu de formalisation.</v>
      </c>
    </row>
    <row r="4" spans="1:5" s="5" customFormat="1" x14ac:dyDescent="0.3">
      <c r="A4" s="5" t="s">
        <v>313</v>
      </c>
      <c r="B4" s="5" t="s">
        <v>8</v>
      </c>
      <c r="C4" s="5">
        <v>3</v>
      </c>
      <c r="D4" s="5" t="s">
        <v>11</v>
      </c>
      <c r="E4" s="5" t="str">
        <f t="shared" si="0"/>
        <v>3-Comité existant avec rôles flous et gouvernance immature.</v>
      </c>
    </row>
    <row r="5" spans="1:5" s="5" customFormat="1" x14ac:dyDescent="0.3">
      <c r="A5" s="5" t="s">
        <v>313</v>
      </c>
      <c r="B5" s="5" t="s">
        <v>8</v>
      </c>
      <c r="C5" s="5">
        <v>4</v>
      </c>
      <c r="D5" s="5" t="s">
        <v>12</v>
      </c>
      <c r="E5" s="5" t="str">
        <f t="shared" si="0"/>
        <v>4-Comité d’architecture bien défini, processus documenté et suivi.</v>
      </c>
    </row>
    <row r="6" spans="1:5" s="5" customFormat="1" x14ac:dyDescent="0.3">
      <c r="A6" s="5" t="s">
        <v>313</v>
      </c>
      <c r="B6" s="5" t="s">
        <v>8</v>
      </c>
      <c r="C6" s="5">
        <v>5</v>
      </c>
      <c r="D6" s="5" t="s">
        <v>13</v>
      </c>
      <c r="E6" s="5" t="str">
        <f t="shared" si="0"/>
        <v>5-Gouvernance totalement intégrée et pilotée de façon stratégique.</v>
      </c>
    </row>
    <row r="7" spans="1:5" s="5" customFormat="1" x14ac:dyDescent="0.3">
      <c r="A7" s="5" t="s">
        <v>313</v>
      </c>
      <c r="B7" s="5" t="s">
        <v>14</v>
      </c>
      <c r="C7" s="5">
        <v>1</v>
      </c>
      <c r="D7" s="5" t="s">
        <v>15</v>
      </c>
      <c r="E7" s="5" t="str">
        <f t="shared" si="0"/>
        <v>1-Aucun principe ni standard défini.</v>
      </c>
    </row>
    <row r="8" spans="1:5" s="5" customFormat="1" x14ac:dyDescent="0.3">
      <c r="A8" s="5" t="s">
        <v>313</v>
      </c>
      <c r="B8" s="5" t="s">
        <v>14</v>
      </c>
      <c r="C8" s="5">
        <v>2</v>
      </c>
      <c r="D8" s="5" t="s">
        <v>16</v>
      </c>
      <c r="E8" s="5" t="str">
        <f t="shared" si="0"/>
        <v>2-Principes en cours de rédaction, non appliqués systématiquement.</v>
      </c>
    </row>
    <row r="9" spans="1:5" s="5" customFormat="1" x14ac:dyDescent="0.3">
      <c r="A9" s="5" t="s">
        <v>313</v>
      </c>
      <c r="B9" s="5" t="s">
        <v>14</v>
      </c>
      <c r="C9" s="5">
        <v>3</v>
      </c>
      <c r="D9" s="5" t="s">
        <v>17</v>
      </c>
      <c r="E9" s="5" t="str">
        <f t="shared" si="0"/>
        <v>3-Principes définis mais appliqués de façon variable.</v>
      </c>
    </row>
    <row r="10" spans="1:5" s="5" customFormat="1" x14ac:dyDescent="0.3">
      <c r="A10" s="5" t="s">
        <v>313</v>
      </c>
      <c r="B10" s="5" t="s">
        <v>14</v>
      </c>
      <c r="C10" s="5">
        <v>4</v>
      </c>
      <c r="D10" s="5" t="s">
        <v>18</v>
      </c>
      <c r="E10" s="5" t="str">
        <f t="shared" si="0"/>
        <v>4-Principes formalisés, communiqués et appliqués régulièrement.</v>
      </c>
    </row>
    <row r="11" spans="1:5" s="5" customFormat="1" x14ac:dyDescent="0.3">
      <c r="A11" s="5" t="s">
        <v>313</v>
      </c>
      <c r="B11" s="5" t="s">
        <v>14</v>
      </c>
      <c r="C11" s="5">
        <v>5</v>
      </c>
      <c r="D11" s="5" t="s">
        <v>19</v>
      </c>
      <c r="E11" s="5" t="str">
        <f t="shared" si="0"/>
        <v>5-Principes intégrés aux processus projets, suivis et améliorés.</v>
      </c>
    </row>
    <row r="12" spans="1:5" s="5" customFormat="1" x14ac:dyDescent="0.3">
      <c r="A12" s="5" t="s">
        <v>313</v>
      </c>
      <c r="B12" s="5" t="s">
        <v>20</v>
      </c>
      <c r="C12" s="5">
        <v>1</v>
      </c>
      <c r="D12" s="5" t="s">
        <v>21</v>
      </c>
      <c r="E12" s="5" t="str">
        <f t="shared" si="0"/>
        <v>1-Aucune gestion des dérogations.</v>
      </c>
    </row>
    <row r="13" spans="1:5" s="5" customFormat="1" x14ac:dyDescent="0.3">
      <c r="A13" s="5" t="s">
        <v>313</v>
      </c>
      <c r="B13" s="5" t="s">
        <v>20</v>
      </c>
      <c r="C13" s="5">
        <v>2</v>
      </c>
      <c r="D13" s="5" t="s">
        <v>22</v>
      </c>
      <c r="E13" s="5" t="str">
        <f t="shared" si="0"/>
        <v>2-Gestion informelle des dérogations au cas par cas.</v>
      </c>
    </row>
    <row r="14" spans="1:5" s="5" customFormat="1" x14ac:dyDescent="0.3">
      <c r="A14" s="5" t="s">
        <v>313</v>
      </c>
      <c r="B14" s="5" t="s">
        <v>20</v>
      </c>
      <c r="C14" s="5">
        <v>3</v>
      </c>
      <c r="D14" s="5" t="s">
        <v>23</v>
      </c>
      <c r="E14" s="5" t="str">
        <f t="shared" si="0"/>
        <v>3-Processus partiellement défini, dérogations tracées mais analyse incomplète.</v>
      </c>
    </row>
    <row r="15" spans="1:5" s="5" customFormat="1" x14ac:dyDescent="0.3">
      <c r="A15" s="5" t="s">
        <v>313</v>
      </c>
      <c r="B15" s="5" t="s">
        <v>20</v>
      </c>
      <c r="C15" s="5">
        <v>4</v>
      </c>
      <c r="D15" s="5" t="s">
        <v>24</v>
      </c>
      <c r="E15" s="5" t="str">
        <f t="shared" si="0"/>
        <v>4-Processus formalisé, dérogations documentées et analysées.</v>
      </c>
    </row>
    <row r="16" spans="1:5" s="5" customFormat="1" x14ac:dyDescent="0.3">
      <c r="A16" s="5" t="s">
        <v>313</v>
      </c>
      <c r="B16" s="5" t="s">
        <v>20</v>
      </c>
      <c r="C16" s="5">
        <v>5</v>
      </c>
      <c r="D16" s="5" t="s">
        <v>25</v>
      </c>
      <c r="E16" s="5" t="str">
        <f t="shared" si="0"/>
        <v>5-Gestion des dérogations intégrée et optimisée, avec reporting.</v>
      </c>
    </row>
    <row r="17" spans="1:5" s="5" customFormat="1" x14ac:dyDescent="0.3">
      <c r="A17" s="5" t="s">
        <v>313</v>
      </c>
      <c r="B17" s="5" t="s">
        <v>26</v>
      </c>
      <c r="C17" s="5">
        <v>1</v>
      </c>
      <c r="D17" s="5" t="s">
        <v>27</v>
      </c>
      <c r="E17" s="5" t="str">
        <f t="shared" si="0"/>
        <v>1-Décisions prises de manière ad hoc et non documentées.</v>
      </c>
    </row>
    <row r="18" spans="1:5" s="5" customFormat="1" x14ac:dyDescent="0.3">
      <c r="A18" s="5" t="s">
        <v>313</v>
      </c>
      <c r="B18" s="5" t="s">
        <v>26</v>
      </c>
      <c r="C18" s="5">
        <v>2</v>
      </c>
      <c r="D18" s="5" t="s">
        <v>28</v>
      </c>
      <c r="E18" s="5" t="str">
        <f t="shared" si="0"/>
        <v>2-Certaines décisions sont documentées mais la traçabilité est limitée.</v>
      </c>
    </row>
    <row r="19" spans="1:5" s="5" customFormat="1" x14ac:dyDescent="0.3">
      <c r="A19" s="5" t="s">
        <v>313</v>
      </c>
      <c r="B19" s="5" t="s">
        <v>26</v>
      </c>
      <c r="C19" s="5">
        <v>3</v>
      </c>
      <c r="D19" s="5" t="s">
        <v>29</v>
      </c>
      <c r="E19" s="5" t="str">
        <f t="shared" si="0"/>
        <v>3-Décisions tracées mais manque de communication.</v>
      </c>
    </row>
    <row r="20" spans="1:5" s="5" customFormat="1" x14ac:dyDescent="0.3">
      <c r="A20" s="5" t="s">
        <v>313</v>
      </c>
      <c r="B20" s="5" t="s">
        <v>26</v>
      </c>
      <c r="C20" s="5">
        <v>4</v>
      </c>
      <c r="D20" s="5" t="s">
        <v>30</v>
      </c>
      <c r="E20" s="5" t="str">
        <f t="shared" si="0"/>
        <v>4-Décisions documentées, tracées et communiquées.</v>
      </c>
    </row>
    <row r="21" spans="1:5" s="5" customFormat="1" x14ac:dyDescent="0.3">
      <c r="A21" s="5" t="s">
        <v>313</v>
      </c>
      <c r="B21" s="5" t="s">
        <v>26</v>
      </c>
      <c r="C21" s="5">
        <v>5</v>
      </c>
      <c r="D21" s="5" t="s">
        <v>31</v>
      </c>
      <c r="E21" s="5" t="str">
        <f t="shared" si="0"/>
        <v>5-Décisions tracées et disponibles via outil/référentiel.</v>
      </c>
    </row>
    <row r="22" spans="1:5" s="5" customFormat="1" x14ac:dyDescent="0.3">
      <c r="A22" s="5" t="s">
        <v>313</v>
      </c>
      <c r="B22" s="5" t="s">
        <v>32</v>
      </c>
      <c r="C22" s="5">
        <v>1</v>
      </c>
      <c r="D22" s="5" t="s">
        <v>33</v>
      </c>
      <c r="E22" s="5" t="str">
        <f t="shared" si="0"/>
        <v>1-Aucune implication des parties prenantes.</v>
      </c>
    </row>
    <row r="23" spans="1:5" s="5" customFormat="1" x14ac:dyDescent="0.3">
      <c r="A23" s="5" t="s">
        <v>313</v>
      </c>
      <c r="B23" s="5" t="s">
        <v>32</v>
      </c>
      <c r="C23" s="5">
        <v>2</v>
      </c>
      <c r="D23" s="5" t="s">
        <v>34</v>
      </c>
      <c r="E23" s="5" t="str">
        <f t="shared" si="0"/>
        <v>2-Consultation ponctuelle des parties prenantes.</v>
      </c>
    </row>
    <row r="24" spans="1:5" s="5" customFormat="1" x14ac:dyDescent="0.3">
      <c r="A24" s="5" t="s">
        <v>313</v>
      </c>
      <c r="B24" s="5" t="s">
        <v>32</v>
      </c>
      <c r="C24" s="5">
        <v>3</v>
      </c>
      <c r="D24" s="5" t="s">
        <v>35</v>
      </c>
      <c r="E24" s="5" t="str">
        <f t="shared" si="0"/>
        <v>3-Parties prenantes consultées mais peu impliquées.</v>
      </c>
    </row>
    <row r="25" spans="1:5" s="5" customFormat="1" x14ac:dyDescent="0.3">
      <c r="A25" s="5" t="s">
        <v>313</v>
      </c>
      <c r="B25" s="5" t="s">
        <v>32</v>
      </c>
      <c r="C25" s="5">
        <v>4</v>
      </c>
      <c r="D25" s="5" t="s">
        <v>36</v>
      </c>
      <c r="E25" s="5" t="str">
        <f t="shared" si="0"/>
        <v>4-Participation active des parties prenantes aux décisions importantes.</v>
      </c>
    </row>
    <row r="26" spans="1:5" s="5" customFormat="1" x14ac:dyDescent="0.3">
      <c r="A26" s="5" t="s">
        <v>313</v>
      </c>
      <c r="B26" s="5" t="s">
        <v>32</v>
      </c>
      <c r="C26" s="5">
        <v>5</v>
      </c>
      <c r="D26" s="5" t="s">
        <v>37</v>
      </c>
      <c r="E26" s="5" t="str">
        <f t="shared" si="0"/>
        <v>5-Parties prenantes impliquées systématiquement et proactivement.</v>
      </c>
    </row>
    <row r="27" spans="1:5" x14ac:dyDescent="0.3">
      <c r="A27" t="s">
        <v>314</v>
      </c>
      <c r="B27" t="s">
        <v>41</v>
      </c>
      <c r="C27">
        <v>1</v>
      </c>
      <c r="D27" t="s">
        <v>42</v>
      </c>
      <c r="E27" t="str">
        <f t="shared" si="0"/>
        <v>1-Aucune méthodologie formelle d’architecture n’a été identifiée ou utilisée.</v>
      </c>
    </row>
    <row r="28" spans="1:5" x14ac:dyDescent="0.3">
      <c r="A28" t="s">
        <v>314</v>
      </c>
      <c r="B28" t="s">
        <v>41</v>
      </c>
      <c r="C28">
        <v>2</v>
      </c>
      <c r="D28" t="s">
        <v>43</v>
      </c>
      <c r="E28" t="str">
        <f t="shared" si="0"/>
        <v>2-Une méthodologie est envisagée mais pas encore formalisée ; quelques architectes l’appliquent ponctuellement.</v>
      </c>
    </row>
    <row r="29" spans="1:5" x14ac:dyDescent="0.3">
      <c r="A29" t="s">
        <v>314</v>
      </c>
      <c r="B29" t="s">
        <v>41</v>
      </c>
      <c r="C29">
        <v>3</v>
      </c>
      <c r="D29" t="s">
        <v>44</v>
      </c>
      <c r="E29" t="str">
        <f t="shared" si="0"/>
        <v>3-Une méthodologie est définie mais son application varie d’un projet à l’autre, sans standardisation.</v>
      </c>
    </row>
    <row r="30" spans="1:5" x14ac:dyDescent="0.3">
      <c r="A30" t="s">
        <v>314</v>
      </c>
      <c r="B30" t="s">
        <v>41</v>
      </c>
      <c r="C30">
        <v>4</v>
      </c>
      <c r="D30" t="s">
        <v>45</v>
      </c>
      <c r="E30" t="str">
        <f t="shared" si="0"/>
        <v>4-Une méthodologie est adoptée, adaptée au contexte, et utilisée régulièrement sur la plupart des projets.</v>
      </c>
    </row>
    <row r="31" spans="1:5" x14ac:dyDescent="0.3">
      <c r="A31" t="s">
        <v>314</v>
      </c>
      <c r="B31" t="s">
        <v>41</v>
      </c>
      <c r="C31">
        <v>5</v>
      </c>
      <c r="D31" t="s">
        <v>46</v>
      </c>
      <c r="E31" t="str">
        <f t="shared" si="0"/>
        <v>5-La méthodologie est totalement intégrée, adaptée en continu, et soutenue par des formations et des guides pratiques.</v>
      </c>
    </row>
    <row r="32" spans="1:5" x14ac:dyDescent="0.3">
      <c r="A32" t="s">
        <v>314</v>
      </c>
      <c r="B32" t="s">
        <v>47</v>
      </c>
      <c r="C32">
        <v>1</v>
      </c>
      <c r="D32" t="s">
        <v>48</v>
      </c>
      <c r="E32" t="str">
        <f t="shared" si="0"/>
        <v>1-Aucun processus ni livrable défini. Chaque architecte fait selon ses habitudes.</v>
      </c>
    </row>
    <row r="33" spans="1:5" x14ac:dyDescent="0.3">
      <c r="A33" t="s">
        <v>314</v>
      </c>
      <c r="B33" t="s">
        <v>47</v>
      </c>
      <c r="C33">
        <v>2</v>
      </c>
      <c r="D33" t="s">
        <v>49</v>
      </c>
      <c r="E33" t="str">
        <f t="shared" si="0"/>
        <v>2-Quelques livrables sont définis mais pas alignés avec un processus structuré.</v>
      </c>
    </row>
    <row r="34" spans="1:5" x14ac:dyDescent="0.3">
      <c r="A34" t="s">
        <v>314</v>
      </c>
      <c r="B34" t="s">
        <v>47</v>
      </c>
      <c r="C34">
        <v>3</v>
      </c>
      <c r="D34" t="s">
        <v>50</v>
      </c>
      <c r="E34" t="str">
        <f t="shared" si="0"/>
        <v>3-Les étapes et les livrables sont définis mais pas systématiquement appliqués.</v>
      </c>
    </row>
    <row r="35" spans="1:5" x14ac:dyDescent="0.3">
      <c r="A35" t="s">
        <v>314</v>
      </c>
      <c r="B35" t="s">
        <v>47</v>
      </c>
      <c r="C35">
        <v>4</v>
      </c>
      <c r="D35" t="s">
        <v>51</v>
      </c>
      <c r="E35" t="str">
        <f t="shared" si="0"/>
        <v>4-Les étapes et les livrables sont définis, normalisés et connus des équipes.</v>
      </c>
    </row>
    <row r="36" spans="1:5" x14ac:dyDescent="0.3">
      <c r="A36" t="s">
        <v>314</v>
      </c>
      <c r="B36" t="s">
        <v>47</v>
      </c>
      <c r="C36">
        <v>5</v>
      </c>
      <c r="D36" t="s">
        <v>52</v>
      </c>
      <c r="E36" t="str">
        <f t="shared" si="0"/>
        <v>5-Les étapes et les livrables sont standardisés, adaptés selon le contexte projet et audités régulièrement.</v>
      </c>
    </row>
    <row r="37" spans="1:5" x14ac:dyDescent="0.3">
      <c r="A37" t="s">
        <v>314</v>
      </c>
      <c r="B37" t="s">
        <v>53</v>
      </c>
      <c r="C37">
        <v>1</v>
      </c>
      <c r="D37" t="s">
        <v>54</v>
      </c>
      <c r="E37" t="str">
        <f t="shared" si="0"/>
        <v>1-La méthodologie est rarement ou jamais appliquée.</v>
      </c>
    </row>
    <row r="38" spans="1:5" x14ac:dyDescent="0.3">
      <c r="A38" t="s">
        <v>314</v>
      </c>
      <c r="B38" t="s">
        <v>53</v>
      </c>
      <c r="C38">
        <v>2</v>
      </c>
      <c r="D38" t="s">
        <v>55</v>
      </c>
      <c r="E38" t="str">
        <f t="shared" si="0"/>
        <v>2-Application occasionnelle selon les projets ou les préférences individuelles.</v>
      </c>
    </row>
    <row r="39" spans="1:5" x14ac:dyDescent="0.3">
      <c r="A39" t="s">
        <v>314</v>
      </c>
      <c r="B39" t="s">
        <v>53</v>
      </c>
      <c r="C39">
        <v>3</v>
      </c>
      <c r="D39" t="s">
        <v>56</v>
      </c>
      <c r="E39" t="str">
        <f t="shared" si="0"/>
        <v>3-Application partielle, sans réelle homogénéité entre les projets.</v>
      </c>
    </row>
    <row r="40" spans="1:5" x14ac:dyDescent="0.3">
      <c r="A40" t="s">
        <v>314</v>
      </c>
      <c r="B40" t="s">
        <v>53</v>
      </c>
      <c r="C40">
        <v>4</v>
      </c>
      <c r="D40" t="s">
        <v>57</v>
      </c>
      <c r="E40" t="str">
        <f t="shared" si="0"/>
        <v>4-Méthodologie appliquée de façon cohérente par la plupart des architectes.</v>
      </c>
    </row>
    <row r="41" spans="1:5" x14ac:dyDescent="0.3">
      <c r="A41" t="s">
        <v>314</v>
      </c>
      <c r="B41" t="s">
        <v>53</v>
      </c>
      <c r="C41">
        <v>5</v>
      </c>
      <c r="D41" t="s">
        <v>58</v>
      </c>
      <c r="E41" t="str">
        <f t="shared" si="0"/>
        <v>5-Méthodologie appliquée systématiquement, avec contrôle qualité et amélioration continue.</v>
      </c>
    </row>
    <row r="42" spans="1:5" x14ac:dyDescent="0.3">
      <c r="A42" t="s">
        <v>314</v>
      </c>
      <c r="B42" t="s">
        <v>59</v>
      </c>
      <c r="C42">
        <v>1</v>
      </c>
      <c r="D42" t="s">
        <v>60</v>
      </c>
      <c r="E42" t="str">
        <f t="shared" si="0"/>
        <v>1-Les parties prenantes ne sont pas informées de l’existence d’un processus d’architecture.</v>
      </c>
    </row>
    <row r="43" spans="1:5" x14ac:dyDescent="0.3">
      <c r="A43" t="s">
        <v>314</v>
      </c>
      <c r="B43" t="s">
        <v>59</v>
      </c>
      <c r="C43">
        <v>2</v>
      </c>
      <c r="D43" t="s">
        <v>61</v>
      </c>
      <c r="E43" t="str">
        <f t="shared" si="0"/>
        <v>2-Communication ponctuelle, limitée à quelques projets pilotes.</v>
      </c>
    </row>
    <row r="44" spans="1:5" x14ac:dyDescent="0.3">
      <c r="A44" t="s">
        <v>314</v>
      </c>
      <c r="B44" t="s">
        <v>59</v>
      </c>
      <c r="C44">
        <v>3</v>
      </c>
      <c r="D44" t="s">
        <v>62</v>
      </c>
      <c r="E44" t="str">
        <f t="shared" si="0"/>
        <v>3-Communication existante mais compréhension inégale parmi les parties prenantes.</v>
      </c>
    </row>
    <row r="45" spans="1:5" x14ac:dyDescent="0.3">
      <c r="A45" t="s">
        <v>314</v>
      </c>
      <c r="B45" t="s">
        <v>59</v>
      </c>
      <c r="C45">
        <v>4</v>
      </c>
      <c r="D45" t="s">
        <v>63</v>
      </c>
      <c r="E45" t="str">
        <f t="shared" si="0"/>
        <v>4-Parties prenantes informées et impliquées, comprennent les principales étapes du processus.</v>
      </c>
    </row>
    <row r="46" spans="1:5" x14ac:dyDescent="0.3">
      <c r="A46" t="s">
        <v>314</v>
      </c>
      <c r="B46" t="s">
        <v>59</v>
      </c>
      <c r="C46">
        <v>5</v>
      </c>
      <c r="D46" t="s">
        <v>64</v>
      </c>
      <c r="E46" t="str">
        <f t="shared" si="0"/>
        <v>5-Parties prenantes engagées et collaboratives, capables de contribuer activement au processus.</v>
      </c>
    </row>
    <row r="47" spans="1:5" x14ac:dyDescent="0.3">
      <c r="A47" t="s">
        <v>314</v>
      </c>
      <c r="B47" t="s">
        <v>65</v>
      </c>
      <c r="C47">
        <v>1</v>
      </c>
      <c r="D47" t="s">
        <v>66</v>
      </c>
      <c r="E47" t="str">
        <f t="shared" si="0"/>
        <v>1-Aucun processus de revue ou d’amélioration n’est en place.</v>
      </c>
    </row>
    <row r="48" spans="1:5" x14ac:dyDescent="0.3">
      <c r="A48" t="s">
        <v>314</v>
      </c>
      <c r="B48" t="s">
        <v>65</v>
      </c>
      <c r="C48">
        <v>2</v>
      </c>
      <c r="D48" t="s">
        <v>67</v>
      </c>
      <c r="E48" t="str">
        <f t="shared" si="0"/>
        <v>2-Réflexion en cours pour améliorer le processus mais sans mise en œuvre concrète.</v>
      </c>
    </row>
    <row r="49" spans="1:5" x14ac:dyDescent="0.3">
      <c r="A49" t="s">
        <v>314</v>
      </c>
      <c r="B49" t="s">
        <v>65</v>
      </c>
      <c r="C49">
        <v>3</v>
      </c>
      <c r="D49" t="s">
        <v>68</v>
      </c>
      <c r="E49" t="str">
        <f t="shared" si="0"/>
        <v>3-Amélioration ponctuelle du processus sur retour d’expérience, mais non systématique.</v>
      </c>
    </row>
    <row r="50" spans="1:5" x14ac:dyDescent="0.3">
      <c r="A50" t="s">
        <v>314</v>
      </c>
      <c r="B50" t="s">
        <v>65</v>
      </c>
      <c r="C50">
        <v>4</v>
      </c>
      <c r="D50" t="s">
        <v>69</v>
      </c>
      <c r="E50" t="str">
        <f t="shared" si="0"/>
        <v>4-Processus révisé périodiquement à partir des retours d’expérience.</v>
      </c>
    </row>
    <row r="51" spans="1:5" x14ac:dyDescent="0.3">
      <c r="A51" t="s">
        <v>314</v>
      </c>
      <c r="B51" t="s">
        <v>65</v>
      </c>
      <c r="C51">
        <v>5</v>
      </c>
      <c r="D51" t="s">
        <v>70</v>
      </c>
      <c r="E51" t="str">
        <f t="shared" si="0"/>
        <v>5-Processus d’architecture intégré à un cycle d’amélioration continue, avec indicateurs et mise à jour régulière.</v>
      </c>
    </row>
    <row r="52" spans="1:5" x14ac:dyDescent="0.3">
      <c r="A52" t="s">
        <v>315</v>
      </c>
      <c r="B52" t="s">
        <v>74</v>
      </c>
      <c r="C52">
        <v>1</v>
      </c>
      <c r="D52" t="s">
        <v>75</v>
      </c>
      <c r="E52" t="str">
        <f t="shared" si="0"/>
        <v>1-Aucun alignement entre l’architecture et la stratégie métier.</v>
      </c>
    </row>
    <row r="53" spans="1:5" x14ac:dyDescent="0.3">
      <c r="A53" t="s">
        <v>315</v>
      </c>
      <c r="B53" t="s">
        <v>74</v>
      </c>
      <c r="C53">
        <v>2</v>
      </c>
      <c r="D53" t="s">
        <v>76</v>
      </c>
      <c r="E53" t="str">
        <f t="shared" si="0"/>
        <v>2-Alignement en réflexion mais pas encore formalisé.</v>
      </c>
    </row>
    <row r="54" spans="1:5" x14ac:dyDescent="0.3">
      <c r="A54" t="s">
        <v>315</v>
      </c>
      <c r="B54" t="s">
        <v>74</v>
      </c>
      <c r="C54">
        <v>3</v>
      </c>
      <c r="D54" t="s">
        <v>77</v>
      </c>
      <c r="E54" t="str">
        <f t="shared" si="0"/>
        <v>3-Alignement partiel mais manque de cohérence.</v>
      </c>
    </row>
    <row r="55" spans="1:5" x14ac:dyDescent="0.3">
      <c r="A55" t="s">
        <v>315</v>
      </c>
      <c r="B55" t="s">
        <v>74</v>
      </c>
      <c r="C55">
        <v>4</v>
      </c>
      <c r="D55" t="s">
        <v>78</v>
      </c>
      <c r="E55" t="str">
        <f t="shared" si="0"/>
        <v>4-Alignement opérationnel avec la stratégie métier.</v>
      </c>
    </row>
    <row r="56" spans="1:5" x14ac:dyDescent="0.3">
      <c r="A56" t="s">
        <v>315</v>
      </c>
      <c r="B56" t="s">
        <v>74</v>
      </c>
      <c r="C56">
        <v>5</v>
      </c>
      <c r="D56" t="s">
        <v>79</v>
      </c>
      <c r="E56" t="str">
        <f t="shared" si="0"/>
        <v>5-Alignement stratégique parfaitement intégré aux processus d’architecture.</v>
      </c>
    </row>
    <row r="57" spans="1:5" x14ac:dyDescent="0.3">
      <c r="A57" t="s">
        <v>315</v>
      </c>
      <c r="B57" t="s">
        <v>80</v>
      </c>
      <c r="C57">
        <v>1</v>
      </c>
      <c r="D57" t="s">
        <v>81</v>
      </c>
      <c r="E57" t="str">
        <f t="shared" si="0"/>
        <v>1-Les besoins métiers ne sont pas pris en compte.</v>
      </c>
    </row>
    <row r="58" spans="1:5" x14ac:dyDescent="0.3">
      <c r="A58" t="s">
        <v>315</v>
      </c>
      <c r="B58" t="s">
        <v>80</v>
      </c>
      <c r="C58">
        <v>2</v>
      </c>
      <c r="D58" t="s">
        <v>82</v>
      </c>
      <c r="E58" t="str">
        <f t="shared" si="0"/>
        <v>2-Intégration ponctuelle des besoins métiers.</v>
      </c>
    </row>
    <row r="59" spans="1:5" x14ac:dyDescent="0.3">
      <c r="A59" t="s">
        <v>315</v>
      </c>
      <c r="B59" t="s">
        <v>80</v>
      </c>
      <c r="C59">
        <v>3</v>
      </c>
      <c r="D59" t="s">
        <v>83</v>
      </c>
      <c r="E59" t="str">
        <f t="shared" si="0"/>
        <v>3-Intégration variable selon les projets.</v>
      </c>
    </row>
    <row r="60" spans="1:5" x14ac:dyDescent="0.3">
      <c r="A60" t="s">
        <v>315</v>
      </c>
      <c r="B60" t="s">
        <v>80</v>
      </c>
      <c r="C60">
        <v>4</v>
      </c>
      <c r="D60" t="s">
        <v>84</v>
      </c>
      <c r="E60" t="str">
        <f t="shared" si="0"/>
        <v>4-Intégration régulière des besoins métiers dans les décisions.</v>
      </c>
    </row>
    <row r="61" spans="1:5" x14ac:dyDescent="0.3">
      <c r="A61" t="s">
        <v>315</v>
      </c>
      <c r="B61" t="s">
        <v>80</v>
      </c>
      <c r="C61">
        <v>5</v>
      </c>
      <c r="D61" t="s">
        <v>85</v>
      </c>
      <c r="E61" t="str">
        <f t="shared" si="0"/>
        <v>5-Intégration des besoins métiers systématique et priorisée.</v>
      </c>
    </row>
    <row r="62" spans="1:5" x14ac:dyDescent="0.3">
      <c r="A62" t="s">
        <v>315</v>
      </c>
      <c r="B62" t="s">
        <v>86</v>
      </c>
      <c r="C62">
        <v>1</v>
      </c>
      <c r="D62" t="s">
        <v>87</v>
      </c>
      <c r="E62" t="str">
        <f t="shared" si="0"/>
        <v>1-Aucune priorisation stratégique des projets.</v>
      </c>
    </row>
    <row r="63" spans="1:5" x14ac:dyDescent="0.3">
      <c r="A63" t="s">
        <v>315</v>
      </c>
      <c r="B63" t="s">
        <v>86</v>
      </c>
      <c r="C63">
        <v>2</v>
      </c>
      <c r="D63" t="s">
        <v>88</v>
      </c>
      <c r="E63" t="str">
        <f t="shared" si="0"/>
        <v>2-Priorisation au cas par cas sans vision stratégique.</v>
      </c>
    </row>
    <row r="64" spans="1:5" x14ac:dyDescent="0.3">
      <c r="A64" t="s">
        <v>315</v>
      </c>
      <c r="B64" t="s">
        <v>86</v>
      </c>
      <c r="C64">
        <v>3</v>
      </c>
      <c r="D64" t="s">
        <v>89</v>
      </c>
      <c r="E64" t="str">
        <f t="shared" si="0"/>
        <v>3-Priorisation existante mais non systématique.</v>
      </c>
    </row>
    <row r="65" spans="1:5" x14ac:dyDescent="0.3">
      <c r="A65" t="s">
        <v>315</v>
      </c>
      <c r="B65" t="s">
        <v>86</v>
      </c>
      <c r="C65">
        <v>4</v>
      </c>
      <c r="D65" t="s">
        <v>90</v>
      </c>
      <c r="E65" t="str">
        <f t="shared" si="0"/>
        <v>4-Priorisation stratégique des projets en place.</v>
      </c>
    </row>
    <row r="66" spans="1:5" x14ac:dyDescent="0.3">
      <c r="A66" t="s">
        <v>315</v>
      </c>
      <c r="B66" t="s">
        <v>86</v>
      </c>
      <c r="C66">
        <v>5</v>
      </c>
      <c r="D66" t="s">
        <v>91</v>
      </c>
      <c r="E66" t="str">
        <f t="shared" si="0"/>
        <v>5-Priorisation basée sur la valeur métier et la stratégie.</v>
      </c>
    </row>
    <row r="67" spans="1:5" x14ac:dyDescent="0.3">
      <c r="A67" t="s">
        <v>315</v>
      </c>
      <c r="B67" t="s">
        <v>92</v>
      </c>
      <c r="C67">
        <v>1</v>
      </c>
      <c r="D67" t="s">
        <v>93</v>
      </c>
      <c r="E67" t="str">
        <f t="shared" ref="E67:E130" si="1">C67&amp;"-"&amp;D67</f>
        <v>1-Aucune cartographie des capacités métier.</v>
      </c>
    </row>
    <row r="68" spans="1:5" x14ac:dyDescent="0.3">
      <c r="A68" t="s">
        <v>315</v>
      </c>
      <c r="B68" t="s">
        <v>92</v>
      </c>
      <c r="C68">
        <v>2</v>
      </c>
      <c r="D68" t="s">
        <v>94</v>
      </c>
      <c r="E68" t="str">
        <f t="shared" si="1"/>
        <v>2-Cartographie embryonnaire ou incomplète.</v>
      </c>
    </row>
    <row r="69" spans="1:5" x14ac:dyDescent="0.3">
      <c r="A69" t="s">
        <v>315</v>
      </c>
      <c r="B69" t="s">
        <v>92</v>
      </c>
      <c r="C69">
        <v>3</v>
      </c>
      <c r="D69" t="s">
        <v>95</v>
      </c>
      <c r="E69" t="str">
        <f t="shared" si="1"/>
        <v>3-Cartographie des capacités métier partiellement exploitée.</v>
      </c>
    </row>
    <row r="70" spans="1:5" x14ac:dyDescent="0.3">
      <c r="A70" t="s">
        <v>315</v>
      </c>
      <c r="B70" t="s">
        <v>92</v>
      </c>
      <c r="C70">
        <v>4</v>
      </c>
      <c r="D70" t="s">
        <v>96</v>
      </c>
      <c r="E70" t="str">
        <f t="shared" si="1"/>
        <v>4-Cartographie des capacités métier utilisée pour orienter les choix.</v>
      </c>
    </row>
    <row r="71" spans="1:5" x14ac:dyDescent="0.3">
      <c r="A71" t="s">
        <v>315</v>
      </c>
      <c r="B71" t="s">
        <v>92</v>
      </c>
      <c r="C71">
        <v>5</v>
      </c>
      <c r="D71" t="s">
        <v>97</v>
      </c>
      <c r="E71" t="str">
        <f t="shared" si="1"/>
        <v>5-Cartographie des capacités métier utilisée comme référence stratégique.</v>
      </c>
    </row>
    <row r="72" spans="1:5" x14ac:dyDescent="0.3">
      <c r="A72" t="s">
        <v>315</v>
      </c>
      <c r="B72" t="s">
        <v>98</v>
      </c>
      <c r="C72">
        <v>1</v>
      </c>
      <c r="D72" t="s">
        <v>99</v>
      </c>
      <c r="E72" t="str">
        <f t="shared" si="1"/>
        <v>1-Les parties prenantes métiers sont absentes des discussions.</v>
      </c>
    </row>
    <row r="73" spans="1:5" x14ac:dyDescent="0.3">
      <c r="A73" t="s">
        <v>315</v>
      </c>
      <c r="B73" t="s">
        <v>98</v>
      </c>
      <c r="C73">
        <v>2</v>
      </c>
      <c r="D73" t="s">
        <v>100</v>
      </c>
      <c r="E73" t="str">
        <f t="shared" si="1"/>
        <v>2-Les parties prenantes métiers sont consultées de manière ponctuelle.</v>
      </c>
    </row>
    <row r="74" spans="1:5" x14ac:dyDescent="0.3">
      <c r="A74" t="s">
        <v>315</v>
      </c>
      <c r="B74" t="s">
        <v>98</v>
      </c>
      <c r="C74">
        <v>3</v>
      </c>
      <c r="D74" t="s">
        <v>101</v>
      </c>
      <c r="E74" t="str">
        <f t="shared" si="1"/>
        <v>3-Les parties prenantes métiers participent mais sans rôle décisionnel.</v>
      </c>
    </row>
    <row r="75" spans="1:5" x14ac:dyDescent="0.3">
      <c r="A75" t="s">
        <v>315</v>
      </c>
      <c r="B75" t="s">
        <v>98</v>
      </c>
      <c r="C75">
        <v>4</v>
      </c>
      <c r="D75" t="s">
        <v>102</v>
      </c>
      <c r="E75" t="str">
        <f t="shared" si="1"/>
        <v>4-Les parties prenantes métiers sont impliquées et consultées régulièrement.</v>
      </c>
    </row>
    <row r="76" spans="1:5" x14ac:dyDescent="0.3">
      <c r="A76" t="s">
        <v>315</v>
      </c>
      <c r="B76" t="s">
        <v>98</v>
      </c>
      <c r="C76">
        <v>5</v>
      </c>
      <c r="D76" t="s">
        <v>103</v>
      </c>
      <c r="E76" t="str">
        <f t="shared" si="1"/>
        <v>5-Les parties prenantes métiers participent activement et influencent les décisions.</v>
      </c>
    </row>
    <row r="77" spans="1:5" x14ac:dyDescent="0.3">
      <c r="A77" t="s">
        <v>316</v>
      </c>
      <c r="B77" t="s">
        <v>107</v>
      </c>
      <c r="C77">
        <v>1</v>
      </c>
      <c r="D77" t="s">
        <v>108</v>
      </c>
      <c r="E77" t="str">
        <f t="shared" si="1"/>
        <v>1-Aucune communication autour de l’architecture.</v>
      </c>
    </row>
    <row r="78" spans="1:5" x14ac:dyDescent="0.3">
      <c r="A78" t="s">
        <v>316</v>
      </c>
      <c r="B78" t="s">
        <v>107</v>
      </c>
      <c r="C78">
        <v>2</v>
      </c>
      <c r="D78" t="s">
        <v>109</v>
      </c>
      <c r="E78" t="str">
        <f t="shared" si="1"/>
        <v>2-Communication ponctuelle et limitée.</v>
      </c>
    </row>
    <row r="79" spans="1:5" x14ac:dyDescent="0.3">
      <c r="A79" t="s">
        <v>316</v>
      </c>
      <c r="B79" t="s">
        <v>107</v>
      </c>
      <c r="C79">
        <v>3</v>
      </c>
      <c r="D79" t="s">
        <v>110</v>
      </c>
      <c r="E79" t="str">
        <f t="shared" si="1"/>
        <v>3-Communication existante mais inégale.</v>
      </c>
    </row>
    <row r="80" spans="1:5" x14ac:dyDescent="0.3">
      <c r="A80" t="s">
        <v>316</v>
      </c>
      <c r="B80" t="s">
        <v>107</v>
      </c>
      <c r="C80">
        <v>4</v>
      </c>
      <c r="D80" t="s">
        <v>111</v>
      </c>
      <c r="E80" t="str">
        <f t="shared" si="1"/>
        <v>4-Communication régulière et adaptée.</v>
      </c>
    </row>
    <row r="81" spans="1:5" x14ac:dyDescent="0.3">
      <c r="A81" t="s">
        <v>316</v>
      </c>
      <c r="B81" t="s">
        <v>107</v>
      </c>
      <c r="C81">
        <v>5</v>
      </c>
      <c r="D81" t="s">
        <v>112</v>
      </c>
      <c r="E81" t="str">
        <f t="shared" si="1"/>
        <v>5-Communication institutionnalisée, planifiée et proactive.</v>
      </c>
    </row>
    <row r="82" spans="1:5" x14ac:dyDescent="0.3">
      <c r="A82" t="s">
        <v>316</v>
      </c>
      <c r="B82" t="s">
        <v>113</v>
      </c>
      <c r="C82">
        <v>1</v>
      </c>
      <c r="D82" t="s">
        <v>114</v>
      </c>
      <c r="E82" t="str">
        <f t="shared" si="1"/>
        <v>1-Aucune animation d’atelier ni réunion efficace.</v>
      </c>
    </row>
    <row r="83" spans="1:5" x14ac:dyDescent="0.3">
      <c r="A83" t="s">
        <v>316</v>
      </c>
      <c r="B83" t="s">
        <v>113</v>
      </c>
      <c r="C83">
        <v>2</v>
      </c>
      <c r="D83" t="s">
        <v>115</v>
      </c>
      <c r="E83" t="str">
        <f t="shared" si="1"/>
        <v>2-Animation d’atelier occasionnelle et peu structurée.</v>
      </c>
    </row>
    <row r="84" spans="1:5" x14ac:dyDescent="0.3">
      <c r="A84" t="s">
        <v>316</v>
      </c>
      <c r="B84" t="s">
        <v>113</v>
      </c>
      <c r="C84">
        <v>3</v>
      </c>
      <c r="D84" t="s">
        <v>116</v>
      </c>
      <c r="E84" t="str">
        <f t="shared" si="1"/>
        <v>3-Animation d’ateliers variable selon les projets.</v>
      </c>
    </row>
    <row r="85" spans="1:5" x14ac:dyDescent="0.3">
      <c r="A85" t="s">
        <v>316</v>
      </c>
      <c r="B85" t="s">
        <v>113</v>
      </c>
      <c r="C85">
        <v>4</v>
      </c>
      <c r="D85" t="s">
        <v>117</v>
      </c>
      <c r="E85" t="str">
        <f t="shared" si="1"/>
        <v>4-Animation d’ateliers efficace et interactive.</v>
      </c>
    </row>
    <row r="86" spans="1:5" x14ac:dyDescent="0.3">
      <c r="A86" t="s">
        <v>316</v>
      </c>
      <c r="B86" t="s">
        <v>113</v>
      </c>
      <c r="C86">
        <v>5</v>
      </c>
      <c r="D86" t="s">
        <v>118</v>
      </c>
      <c r="E86" t="str">
        <f t="shared" si="1"/>
        <v>5-Animation d’ateliers et réunions exemplaires.</v>
      </c>
    </row>
    <row r="87" spans="1:5" x14ac:dyDescent="0.3">
      <c r="A87" t="s">
        <v>316</v>
      </c>
      <c r="B87" t="s">
        <v>119</v>
      </c>
      <c r="C87">
        <v>1</v>
      </c>
      <c r="D87" t="s">
        <v>120</v>
      </c>
      <c r="E87" t="str">
        <f t="shared" si="1"/>
        <v>1-Aucun support de communication adapté.</v>
      </c>
    </row>
    <row r="88" spans="1:5" x14ac:dyDescent="0.3">
      <c r="A88" t="s">
        <v>316</v>
      </c>
      <c r="B88" t="s">
        <v>119</v>
      </c>
      <c r="C88">
        <v>2</v>
      </c>
      <c r="D88" t="s">
        <v>121</v>
      </c>
      <c r="E88" t="str">
        <f t="shared" si="1"/>
        <v>2-Supports peu clairs ou inadaptés.</v>
      </c>
    </row>
    <row r="89" spans="1:5" x14ac:dyDescent="0.3">
      <c r="A89" t="s">
        <v>316</v>
      </c>
      <c r="B89" t="s">
        <v>119</v>
      </c>
      <c r="C89">
        <v>3</v>
      </c>
      <c r="D89" t="s">
        <v>122</v>
      </c>
      <c r="E89" t="str">
        <f t="shared" si="1"/>
        <v>3-Supports améliorés mais pas systématiques.</v>
      </c>
    </row>
    <row r="90" spans="1:5" x14ac:dyDescent="0.3">
      <c r="A90" t="s">
        <v>316</v>
      </c>
      <c r="B90" t="s">
        <v>119</v>
      </c>
      <c r="C90">
        <v>4</v>
      </c>
      <c r="D90" t="s">
        <v>123</v>
      </c>
      <c r="E90" t="str">
        <f t="shared" si="1"/>
        <v>4-Supports clairs et pertinents pour les parties prenantes.</v>
      </c>
    </row>
    <row r="91" spans="1:5" x14ac:dyDescent="0.3">
      <c r="A91" t="s">
        <v>316</v>
      </c>
      <c r="B91" t="s">
        <v>119</v>
      </c>
      <c r="C91">
        <v>5</v>
      </c>
      <c r="D91" t="s">
        <v>124</v>
      </c>
      <c r="E91" t="str">
        <f t="shared" si="1"/>
        <v>5-Supports de communication de grande qualité et réutilisables.</v>
      </c>
    </row>
    <row r="92" spans="1:5" x14ac:dyDescent="0.3">
      <c r="A92" t="s">
        <v>316</v>
      </c>
      <c r="B92" t="s">
        <v>125</v>
      </c>
      <c r="C92">
        <v>1</v>
      </c>
      <c r="D92" t="s">
        <v>126</v>
      </c>
      <c r="E92" t="str">
        <f t="shared" si="1"/>
        <v>1-Les parties prenantes ne comprennent pas la valeur de l’architecture.</v>
      </c>
    </row>
    <row r="93" spans="1:5" x14ac:dyDescent="0.3">
      <c r="A93" t="s">
        <v>316</v>
      </c>
      <c r="B93" t="s">
        <v>125</v>
      </c>
      <c r="C93">
        <v>2</v>
      </c>
      <c r="D93" t="s">
        <v>127</v>
      </c>
      <c r="E93" t="str">
        <f t="shared" si="1"/>
        <v>2-Les parties prenantes comprennent partiellement la valeur.</v>
      </c>
    </row>
    <row r="94" spans="1:5" x14ac:dyDescent="0.3">
      <c r="A94" t="s">
        <v>316</v>
      </c>
      <c r="B94" t="s">
        <v>125</v>
      </c>
      <c r="C94">
        <v>3</v>
      </c>
      <c r="D94" t="s">
        <v>128</v>
      </c>
      <c r="E94" t="str">
        <f t="shared" si="1"/>
        <v>3-Compréhension partielle de la valeur ajoutée.</v>
      </c>
    </row>
    <row r="95" spans="1:5" x14ac:dyDescent="0.3">
      <c r="A95" t="s">
        <v>316</v>
      </c>
      <c r="B95" t="s">
        <v>125</v>
      </c>
      <c r="C95">
        <v>4</v>
      </c>
      <c r="D95" t="s">
        <v>129</v>
      </c>
      <c r="E95" t="str">
        <f t="shared" si="1"/>
        <v>4-Bonne compréhension de la valeur de l’architecture.</v>
      </c>
    </row>
    <row r="96" spans="1:5" x14ac:dyDescent="0.3">
      <c r="A96" t="s">
        <v>316</v>
      </c>
      <c r="B96" t="s">
        <v>125</v>
      </c>
      <c r="C96">
        <v>5</v>
      </c>
      <c r="D96" t="s">
        <v>130</v>
      </c>
      <c r="E96" t="str">
        <f t="shared" si="1"/>
        <v>5-Les parties prenantes comprennent et défendent la valeur ajoutée.</v>
      </c>
    </row>
    <row r="97" spans="1:5" x14ac:dyDescent="0.3">
      <c r="A97" t="s">
        <v>316</v>
      </c>
      <c r="B97" t="s">
        <v>131</v>
      </c>
      <c r="C97">
        <v>1</v>
      </c>
      <c r="D97" t="s">
        <v>132</v>
      </c>
      <c r="E97" t="str">
        <f t="shared" si="1"/>
        <v>1-Aucune écoute ni retour d’information.</v>
      </c>
    </row>
    <row r="98" spans="1:5" x14ac:dyDescent="0.3">
      <c r="A98" t="s">
        <v>316</v>
      </c>
      <c r="B98" t="s">
        <v>131</v>
      </c>
      <c r="C98">
        <v>2</v>
      </c>
      <c r="D98" t="s">
        <v>133</v>
      </c>
      <c r="E98" t="str">
        <f t="shared" si="1"/>
        <v>2-Communication unidirectionnelle descendante.</v>
      </c>
    </row>
    <row r="99" spans="1:5" x14ac:dyDescent="0.3">
      <c r="A99" t="s">
        <v>316</v>
      </c>
      <c r="B99" t="s">
        <v>131</v>
      </c>
      <c r="C99">
        <v>3</v>
      </c>
      <c r="D99" t="s">
        <v>134</v>
      </c>
      <c r="E99" t="str">
        <f t="shared" si="1"/>
        <v>3-Communication en partie bidirectionnelle.</v>
      </c>
    </row>
    <row r="100" spans="1:5" x14ac:dyDescent="0.3">
      <c r="A100" t="s">
        <v>316</v>
      </c>
      <c r="B100" t="s">
        <v>131</v>
      </c>
      <c r="C100">
        <v>4</v>
      </c>
      <c r="D100" t="s">
        <v>135</v>
      </c>
      <c r="E100" t="str">
        <f t="shared" si="1"/>
        <v>4-Communication bidirectionnelle active.</v>
      </c>
    </row>
    <row r="101" spans="1:5" x14ac:dyDescent="0.3">
      <c r="A101" t="s">
        <v>316</v>
      </c>
      <c r="B101" t="s">
        <v>131</v>
      </c>
      <c r="C101">
        <v>5</v>
      </c>
      <c r="D101" t="s">
        <v>136</v>
      </c>
      <c r="E101" t="str">
        <f t="shared" si="1"/>
        <v>5-Communication bidirectionnelle et collaborative.</v>
      </c>
    </row>
    <row r="102" spans="1:5" x14ac:dyDescent="0.3">
      <c r="A102" t="s">
        <v>317</v>
      </c>
      <c r="B102" t="s">
        <v>140</v>
      </c>
      <c r="C102">
        <v>1</v>
      </c>
      <c r="D102" t="s">
        <v>141</v>
      </c>
      <c r="E102" t="str">
        <f t="shared" si="1"/>
        <v>1-Aucun outil d’architecture n’est utilisé.</v>
      </c>
    </row>
    <row r="103" spans="1:5" x14ac:dyDescent="0.3">
      <c r="A103" t="s">
        <v>317</v>
      </c>
      <c r="B103" t="s">
        <v>140</v>
      </c>
      <c r="C103">
        <v>2</v>
      </c>
      <c r="D103" t="s">
        <v>142</v>
      </c>
      <c r="E103" t="str">
        <f t="shared" si="1"/>
        <v>2-Un outil est envisagé mais son utilisation est limitée.</v>
      </c>
    </row>
    <row r="104" spans="1:5" x14ac:dyDescent="0.3">
      <c r="A104" t="s">
        <v>317</v>
      </c>
      <c r="B104" t="s">
        <v>140</v>
      </c>
      <c r="C104">
        <v>3</v>
      </c>
      <c r="D104" t="s">
        <v>143</v>
      </c>
      <c r="E104" t="str">
        <f t="shared" si="1"/>
        <v>3-Outil disponible mais son usage n’est pas homogène.</v>
      </c>
    </row>
    <row r="105" spans="1:5" x14ac:dyDescent="0.3">
      <c r="A105" t="s">
        <v>317</v>
      </c>
      <c r="B105" t="s">
        <v>140</v>
      </c>
      <c r="C105">
        <v>4</v>
      </c>
      <c r="D105" t="s">
        <v>144</v>
      </c>
      <c r="E105" t="str">
        <f t="shared" si="1"/>
        <v>4-Outil d’architecture partagé et bien utilisé.</v>
      </c>
    </row>
    <row r="106" spans="1:5" x14ac:dyDescent="0.3">
      <c r="A106" t="s">
        <v>317</v>
      </c>
      <c r="B106" t="s">
        <v>140</v>
      </c>
      <c r="C106">
        <v>5</v>
      </c>
      <c r="D106" t="s">
        <v>145</v>
      </c>
      <c r="E106" t="str">
        <f t="shared" si="1"/>
        <v>5-Outil d’architecture totalement intégré à l’écosystème numérique.</v>
      </c>
    </row>
    <row r="107" spans="1:5" x14ac:dyDescent="0.3">
      <c r="A107" t="s">
        <v>317</v>
      </c>
      <c r="B107" t="s">
        <v>146</v>
      </c>
      <c r="C107">
        <v>1</v>
      </c>
      <c r="D107" t="s">
        <v>147</v>
      </c>
      <c r="E107" t="str">
        <f t="shared" si="1"/>
        <v>1-Les modèles d’architecture sont dispersés et non centralisés.</v>
      </c>
    </row>
    <row r="108" spans="1:5" x14ac:dyDescent="0.3">
      <c r="A108" t="s">
        <v>317</v>
      </c>
      <c r="B108" t="s">
        <v>146</v>
      </c>
      <c r="C108">
        <v>2</v>
      </c>
      <c r="D108" t="s">
        <v>148</v>
      </c>
      <c r="E108" t="str">
        <f t="shared" si="1"/>
        <v>2-Les modèles sont regroupés partiellement, sans mise à jour.</v>
      </c>
    </row>
    <row r="109" spans="1:5" x14ac:dyDescent="0.3">
      <c r="A109" t="s">
        <v>317</v>
      </c>
      <c r="B109" t="s">
        <v>146</v>
      </c>
      <c r="C109">
        <v>3</v>
      </c>
      <c r="D109" t="s">
        <v>149</v>
      </c>
      <c r="E109" t="str">
        <f t="shared" si="1"/>
        <v>3-Modèles centralisés mais mis à jour de manière irrégulière.</v>
      </c>
    </row>
    <row r="110" spans="1:5" x14ac:dyDescent="0.3">
      <c r="A110" t="s">
        <v>317</v>
      </c>
      <c r="B110" t="s">
        <v>146</v>
      </c>
      <c r="C110">
        <v>4</v>
      </c>
      <c r="D110" t="s">
        <v>150</v>
      </c>
      <c r="E110" t="str">
        <f t="shared" si="1"/>
        <v>4-Modèles centralisés, à jour et accessibles.</v>
      </c>
    </row>
    <row r="111" spans="1:5" x14ac:dyDescent="0.3">
      <c r="A111" t="s">
        <v>317</v>
      </c>
      <c r="B111" t="s">
        <v>146</v>
      </c>
      <c r="C111">
        <v>5</v>
      </c>
      <c r="D111" t="s">
        <v>151</v>
      </c>
      <c r="E111" t="str">
        <f t="shared" si="1"/>
        <v>5-Modèles complets, mis à jour en temps réel et exploités activement.</v>
      </c>
    </row>
    <row r="112" spans="1:5" x14ac:dyDescent="0.3">
      <c r="A112" t="s">
        <v>317</v>
      </c>
      <c r="B112" t="s">
        <v>152</v>
      </c>
      <c r="C112">
        <v>1</v>
      </c>
      <c r="D112" t="s">
        <v>153</v>
      </c>
      <c r="E112" t="str">
        <f t="shared" si="1"/>
        <v>1-L’outil n’est pas utilisé ou est obsolète.</v>
      </c>
    </row>
    <row r="113" spans="1:5" x14ac:dyDescent="0.3">
      <c r="A113" t="s">
        <v>317</v>
      </c>
      <c r="B113" t="s">
        <v>152</v>
      </c>
      <c r="C113">
        <v>2</v>
      </c>
      <c r="D113" t="s">
        <v>154</v>
      </c>
      <c r="E113" t="str">
        <f t="shared" si="1"/>
        <v>2-Utilisation sporadique de l’outil d’architecture.</v>
      </c>
    </row>
    <row r="114" spans="1:5" x14ac:dyDescent="0.3">
      <c r="A114" t="s">
        <v>317</v>
      </c>
      <c r="B114" t="s">
        <v>152</v>
      </c>
      <c r="C114">
        <v>3</v>
      </c>
      <c r="D114" t="s">
        <v>155</v>
      </c>
      <c r="E114" t="str">
        <f t="shared" si="1"/>
        <v>3-Utilisation variable selon les projets et les équipes.</v>
      </c>
    </row>
    <row r="115" spans="1:5" x14ac:dyDescent="0.3">
      <c r="A115" t="s">
        <v>317</v>
      </c>
      <c r="B115" t="s">
        <v>152</v>
      </c>
      <c r="C115">
        <v>4</v>
      </c>
      <c r="D115" t="s">
        <v>156</v>
      </c>
      <c r="E115" t="str">
        <f t="shared" si="1"/>
        <v>4-Utilisation homogène et standardisée.</v>
      </c>
    </row>
    <row r="116" spans="1:5" x14ac:dyDescent="0.3">
      <c r="A116" t="s">
        <v>317</v>
      </c>
      <c r="B116" t="s">
        <v>152</v>
      </c>
      <c r="C116">
        <v>5</v>
      </c>
      <c r="D116" t="s">
        <v>157</v>
      </c>
      <c r="E116" t="str">
        <f t="shared" si="1"/>
        <v>5-Utilisation systématique et institutionnalisée.</v>
      </c>
    </row>
    <row r="117" spans="1:5" x14ac:dyDescent="0.3">
      <c r="A117" t="s">
        <v>317</v>
      </c>
      <c r="B117" t="s">
        <v>158</v>
      </c>
      <c r="C117">
        <v>1</v>
      </c>
      <c r="D117" t="s">
        <v>159</v>
      </c>
      <c r="E117" t="str">
        <f t="shared" si="1"/>
        <v>1-Aucun accès ou visibilité pour les parties prenantes.</v>
      </c>
    </row>
    <row r="118" spans="1:5" x14ac:dyDescent="0.3">
      <c r="A118" t="s">
        <v>317</v>
      </c>
      <c r="B118" t="s">
        <v>158</v>
      </c>
      <c r="C118">
        <v>2</v>
      </c>
      <c r="D118" t="s">
        <v>160</v>
      </c>
      <c r="E118" t="str">
        <f t="shared" si="1"/>
        <v>2-Accès limité pour certaines parties prenantes.</v>
      </c>
    </row>
    <row r="119" spans="1:5" x14ac:dyDescent="0.3">
      <c r="A119" t="s">
        <v>317</v>
      </c>
      <c r="B119" t="s">
        <v>158</v>
      </c>
      <c r="C119">
        <v>3</v>
      </c>
      <c r="D119" t="s">
        <v>161</v>
      </c>
      <c r="E119" t="str">
        <f t="shared" si="1"/>
        <v>3-Accès partiel pour les parties prenantes, usage inégal.</v>
      </c>
    </row>
    <row r="120" spans="1:5" x14ac:dyDescent="0.3">
      <c r="A120" t="s">
        <v>317</v>
      </c>
      <c r="B120" t="s">
        <v>158</v>
      </c>
      <c r="C120">
        <v>4</v>
      </c>
      <c r="D120" t="s">
        <v>162</v>
      </c>
      <c r="E120" t="str">
        <f t="shared" si="1"/>
        <v>4-Accès facile pour les parties prenantes pertinentes.</v>
      </c>
    </row>
    <row r="121" spans="1:5" x14ac:dyDescent="0.3">
      <c r="A121" t="s">
        <v>317</v>
      </c>
      <c r="B121" t="s">
        <v>158</v>
      </c>
      <c r="C121">
        <v>5</v>
      </c>
      <c r="D121" t="s">
        <v>163</v>
      </c>
      <c r="E121" t="str">
        <f t="shared" si="1"/>
        <v>5-Accès personnalisé et collaboratif pour les parties prenantes.</v>
      </c>
    </row>
    <row r="122" spans="1:5" x14ac:dyDescent="0.3">
      <c r="A122" t="s">
        <v>317</v>
      </c>
      <c r="B122" t="s">
        <v>164</v>
      </c>
      <c r="C122">
        <v>1</v>
      </c>
      <c r="D122" t="s">
        <v>165</v>
      </c>
      <c r="E122" t="str">
        <f t="shared" si="1"/>
        <v>1-Aucun lien avec les autres outils de l’entreprise.</v>
      </c>
    </row>
    <row r="123" spans="1:5" x14ac:dyDescent="0.3">
      <c r="A123" t="s">
        <v>317</v>
      </c>
      <c r="B123" t="s">
        <v>164</v>
      </c>
      <c r="C123">
        <v>2</v>
      </c>
      <c r="D123" t="s">
        <v>166</v>
      </c>
      <c r="E123" t="str">
        <f t="shared" si="1"/>
        <v>2-Début de réflexion sur les intégrations possibles.</v>
      </c>
    </row>
    <row r="124" spans="1:5" x14ac:dyDescent="0.3">
      <c r="A124" t="s">
        <v>317</v>
      </c>
      <c r="B124" t="s">
        <v>164</v>
      </c>
      <c r="C124">
        <v>3</v>
      </c>
      <c r="D124" t="s">
        <v>167</v>
      </c>
      <c r="E124" t="str">
        <f t="shared" si="1"/>
        <v>3-Intégrations partielles ou manuelles avec d’autres outils.</v>
      </c>
    </row>
    <row r="125" spans="1:5" x14ac:dyDescent="0.3">
      <c r="A125" t="s">
        <v>317</v>
      </c>
      <c r="B125" t="s">
        <v>164</v>
      </c>
      <c r="C125">
        <v>4</v>
      </c>
      <c r="D125" t="s">
        <v>168</v>
      </c>
      <c r="E125" t="str">
        <f t="shared" si="1"/>
        <v>4-Outil intégré aux principaux outils (PMO, CMDB, etc.).</v>
      </c>
    </row>
    <row r="126" spans="1:5" x14ac:dyDescent="0.3">
      <c r="A126" t="s">
        <v>317</v>
      </c>
      <c r="B126" t="s">
        <v>164</v>
      </c>
      <c r="C126">
        <v>5</v>
      </c>
      <c r="D126" t="s">
        <v>169</v>
      </c>
      <c r="E126" t="str">
        <f t="shared" si="1"/>
        <v>5-Intégration fluide et automatisée avec l’ensemble des outils.</v>
      </c>
    </row>
    <row r="127" spans="1:5" x14ac:dyDescent="0.3">
      <c r="A127" t="s">
        <v>318</v>
      </c>
      <c r="B127" t="s">
        <v>173</v>
      </c>
      <c r="C127">
        <v>1</v>
      </c>
      <c r="D127" t="s">
        <v>174</v>
      </c>
      <c r="E127" t="str">
        <f t="shared" si="1"/>
        <v>1-Pas d’équipe d’architectes identifiée ni de rôles définis.</v>
      </c>
    </row>
    <row r="128" spans="1:5" x14ac:dyDescent="0.3">
      <c r="A128" t="s">
        <v>318</v>
      </c>
      <c r="B128" t="s">
        <v>173</v>
      </c>
      <c r="C128">
        <v>2</v>
      </c>
      <c r="D128" t="s">
        <v>175</v>
      </c>
      <c r="E128" t="str">
        <f t="shared" si="1"/>
        <v>2-Définition des rôles embryonnaire ou partielle.</v>
      </c>
    </row>
    <row r="129" spans="1:5" x14ac:dyDescent="0.3">
      <c r="A129" t="s">
        <v>318</v>
      </c>
      <c r="B129" t="s">
        <v>173</v>
      </c>
      <c r="C129">
        <v>3</v>
      </c>
      <c r="D129" t="s">
        <v>176</v>
      </c>
      <c r="E129" t="str">
        <f t="shared" si="1"/>
        <v>3-Rôles définis mais manque de clarté ou d’homogénéité.</v>
      </c>
    </row>
    <row r="130" spans="1:5" x14ac:dyDescent="0.3">
      <c r="A130" t="s">
        <v>318</v>
      </c>
      <c r="B130" t="s">
        <v>173</v>
      </c>
      <c r="C130">
        <v>4</v>
      </c>
      <c r="D130" t="s">
        <v>177</v>
      </c>
      <c r="E130" t="str">
        <f t="shared" si="1"/>
        <v>4-Rôles bien définis et connus de l’organisation.</v>
      </c>
    </row>
    <row r="131" spans="1:5" x14ac:dyDescent="0.3">
      <c r="A131" t="s">
        <v>318</v>
      </c>
      <c r="B131" t="s">
        <v>173</v>
      </c>
      <c r="C131">
        <v>5</v>
      </c>
      <c r="D131" t="s">
        <v>178</v>
      </c>
      <c r="E131" t="str">
        <f t="shared" ref="E131:E194" si="2">C131&amp;"-"&amp;D131</f>
        <v>5-Rôles définis, connus et intégrés dans la gouvernance.</v>
      </c>
    </row>
    <row r="132" spans="1:5" x14ac:dyDescent="0.3">
      <c r="A132" t="s">
        <v>318</v>
      </c>
      <c r="B132" t="s">
        <v>179</v>
      </c>
      <c r="C132">
        <v>1</v>
      </c>
      <c r="D132" t="s">
        <v>180</v>
      </c>
      <c r="E132" t="str">
        <f t="shared" si="2"/>
        <v>1-Compétences non alignées avec les besoins de l’organisation.</v>
      </c>
    </row>
    <row r="133" spans="1:5" x14ac:dyDescent="0.3">
      <c r="A133" t="s">
        <v>318</v>
      </c>
      <c r="B133" t="s">
        <v>179</v>
      </c>
      <c r="C133">
        <v>2</v>
      </c>
      <c r="D133" t="s">
        <v>181</v>
      </c>
      <c r="E133" t="str">
        <f t="shared" si="2"/>
        <v>2-Compétences partiellement alignées, lacunes importantes.</v>
      </c>
    </row>
    <row r="134" spans="1:5" x14ac:dyDescent="0.3">
      <c r="A134" t="s">
        <v>318</v>
      </c>
      <c r="B134" t="s">
        <v>179</v>
      </c>
      <c r="C134">
        <v>3</v>
      </c>
      <c r="D134" t="s">
        <v>182</v>
      </c>
      <c r="E134" t="str">
        <f t="shared" si="2"/>
        <v>3-Compétences globalement alignées mais à renforcer.</v>
      </c>
    </row>
    <row r="135" spans="1:5" x14ac:dyDescent="0.3">
      <c r="A135" t="s">
        <v>318</v>
      </c>
      <c r="B135" t="s">
        <v>179</v>
      </c>
      <c r="C135">
        <v>4</v>
      </c>
      <c r="D135" t="s">
        <v>183</v>
      </c>
      <c r="E135" t="str">
        <f t="shared" si="2"/>
        <v>4-Compétences alignées et plan de formation adapté.</v>
      </c>
    </row>
    <row r="136" spans="1:5" x14ac:dyDescent="0.3">
      <c r="A136" t="s">
        <v>318</v>
      </c>
      <c r="B136" t="s">
        <v>179</v>
      </c>
      <c r="C136">
        <v>5</v>
      </c>
      <c r="D136" t="s">
        <v>184</v>
      </c>
      <c r="E136" t="str">
        <f t="shared" si="2"/>
        <v>5-Compétences stratégiques alignées et en constante évolution.</v>
      </c>
    </row>
    <row r="137" spans="1:5" x14ac:dyDescent="0.3">
      <c r="A137" t="s">
        <v>318</v>
      </c>
      <c r="B137" t="s">
        <v>185</v>
      </c>
      <c r="C137">
        <v>1</v>
      </c>
      <c r="D137" t="s">
        <v>186</v>
      </c>
      <c r="E137" t="str">
        <f t="shared" si="2"/>
        <v>1-Aucun plan de formation en place.</v>
      </c>
    </row>
    <row r="138" spans="1:5" x14ac:dyDescent="0.3">
      <c r="A138" t="s">
        <v>318</v>
      </c>
      <c r="B138" t="s">
        <v>185</v>
      </c>
      <c r="C138">
        <v>2</v>
      </c>
      <c r="D138" t="s">
        <v>187</v>
      </c>
      <c r="E138" t="str">
        <f t="shared" si="2"/>
        <v>2-Formations ponctuelles mais non planifiées.</v>
      </c>
    </row>
    <row r="139" spans="1:5" x14ac:dyDescent="0.3">
      <c r="A139" t="s">
        <v>318</v>
      </c>
      <c r="B139" t="s">
        <v>185</v>
      </c>
      <c r="C139">
        <v>3</v>
      </c>
      <c r="D139" t="s">
        <v>188</v>
      </c>
      <c r="E139" t="str">
        <f t="shared" si="2"/>
        <v>3-Formations présentes mais insuffisantes pour tous.</v>
      </c>
    </row>
    <row r="140" spans="1:5" x14ac:dyDescent="0.3">
      <c r="A140" t="s">
        <v>318</v>
      </c>
      <c r="B140" t="s">
        <v>185</v>
      </c>
      <c r="C140">
        <v>4</v>
      </c>
      <c r="D140" t="s">
        <v>189</v>
      </c>
      <c r="E140" t="str">
        <f t="shared" si="2"/>
        <v>4-Formations régulières et développement des compétences.</v>
      </c>
    </row>
    <row r="141" spans="1:5" x14ac:dyDescent="0.3">
      <c r="A141" t="s">
        <v>318</v>
      </c>
      <c r="B141" t="s">
        <v>185</v>
      </c>
      <c r="C141">
        <v>5</v>
      </c>
      <c r="D141" t="s">
        <v>190</v>
      </c>
      <c r="E141" t="str">
        <f t="shared" si="2"/>
        <v>5-Plan de formation structuré et personnalisé.</v>
      </c>
    </row>
    <row r="142" spans="1:5" x14ac:dyDescent="0.3">
      <c r="A142" t="s">
        <v>318</v>
      </c>
      <c r="B142" t="s">
        <v>191</v>
      </c>
      <c r="C142">
        <v>1</v>
      </c>
      <c r="D142" t="s">
        <v>192</v>
      </c>
      <c r="E142" t="str">
        <f t="shared" si="2"/>
        <v>1-Peu de collaboration entre architectes et autres équipes.</v>
      </c>
    </row>
    <row r="143" spans="1:5" x14ac:dyDescent="0.3">
      <c r="A143" t="s">
        <v>318</v>
      </c>
      <c r="B143" t="s">
        <v>191</v>
      </c>
      <c r="C143">
        <v>2</v>
      </c>
      <c r="D143" t="s">
        <v>193</v>
      </c>
      <c r="E143" t="str">
        <f t="shared" si="2"/>
        <v>2-Collaboration limitée à quelques projets.</v>
      </c>
    </row>
    <row r="144" spans="1:5" x14ac:dyDescent="0.3">
      <c r="A144" t="s">
        <v>318</v>
      </c>
      <c r="B144" t="s">
        <v>191</v>
      </c>
      <c r="C144">
        <v>3</v>
      </c>
      <c r="D144" t="s">
        <v>194</v>
      </c>
      <c r="E144" t="str">
        <f t="shared" si="2"/>
        <v>3-Collaboration variable selon les projets.</v>
      </c>
    </row>
    <row r="145" spans="1:5" x14ac:dyDescent="0.3">
      <c r="A145" t="s">
        <v>318</v>
      </c>
      <c r="B145" t="s">
        <v>191</v>
      </c>
      <c r="C145">
        <v>4</v>
      </c>
      <c r="D145" t="s">
        <v>195</v>
      </c>
      <c r="E145" t="str">
        <f t="shared" si="2"/>
        <v>4-Collaboration efficace et régulière avec les autres équipes.</v>
      </c>
    </row>
    <row r="146" spans="1:5" x14ac:dyDescent="0.3">
      <c r="A146" t="s">
        <v>318</v>
      </c>
      <c r="B146" t="s">
        <v>191</v>
      </c>
      <c r="C146">
        <v>5</v>
      </c>
      <c r="D146" t="s">
        <v>196</v>
      </c>
      <c r="E146" t="str">
        <f t="shared" si="2"/>
        <v>5-Collaboration proactive et transversale.</v>
      </c>
    </row>
    <row r="147" spans="1:5" x14ac:dyDescent="0.3">
      <c r="A147" t="s">
        <v>318</v>
      </c>
      <c r="B147" t="s">
        <v>197</v>
      </c>
      <c r="C147">
        <v>1</v>
      </c>
      <c r="D147" t="s">
        <v>198</v>
      </c>
      <c r="E147" t="str">
        <f t="shared" si="2"/>
        <v>1-Aucune reconnaissance de la fonction architecture.</v>
      </c>
    </row>
    <row r="148" spans="1:5" x14ac:dyDescent="0.3">
      <c r="A148" t="s">
        <v>318</v>
      </c>
      <c r="B148" t="s">
        <v>197</v>
      </c>
      <c r="C148">
        <v>2</v>
      </c>
      <c r="D148" t="s">
        <v>199</v>
      </c>
      <c r="E148" t="str">
        <f t="shared" si="2"/>
        <v>2-Reconnaissance limitée ou ponctuelle de la fonction.</v>
      </c>
    </row>
    <row r="149" spans="1:5" x14ac:dyDescent="0.3">
      <c r="A149" t="s">
        <v>318</v>
      </c>
      <c r="B149" t="s">
        <v>197</v>
      </c>
      <c r="C149">
        <v>3</v>
      </c>
      <c r="D149" t="s">
        <v>200</v>
      </c>
      <c r="E149" t="str">
        <f t="shared" si="2"/>
        <v>3-Reconnaissance progressive mais pas institutionnalisée.</v>
      </c>
    </row>
    <row r="150" spans="1:5" x14ac:dyDescent="0.3">
      <c r="A150" t="s">
        <v>318</v>
      </c>
      <c r="B150" t="s">
        <v>197</v>
      </c>
      <c r="C150">
        <v>4</v>
      </c>
      <c r="D150" t="s">
        <v>201</v>
      </c>
      <c r="E150" t="str">
        <f t="shared" si="2"/>
        <v>4-Reconnaissance de la fonction architecture par le management.</v>
      </c>
    </row>
    <row r="151" spans="1:5" x14ac:dyDescent="0.3">
      <c r="A151" t="s">
        <v>318</v>
      </c>
      <c r="B151" t="s">
        <v>197</v>
      </c>
      <c r="C151">
        <v>5</v>
      </c>
      <c r="D151" t="s">
        <v>202</v>
      </c>
      <c r="E151" t="str">
        <f t="shared" si="2"/>
        <v>5-Fonction architecture reconnue et valorisée par l’organisation.</v>
      </c>
    </row>
    <row r="152" spans="1:5" x14ac:dyDescent="0.3">
      <c r="A152" t="s">
        <v>319</v>
      </c>
      <c r="B152" t="s">
        <v>206</v>
      </c>
      <c r="C152">
        <v>1</v>
      </c>
      <c r="D152" t="s">
        <v>207</v>
      </c>
      <c r="E152" t="str">
        <f t="shared" si="2"/>
        <v>1-Aucun livrable d’architecture produit.</v>
      </c>
    </row>
    <row r="153" spans="1:5" x14ac:dyDescent="0.3">
      <c r="A153" t="s">
        <v>319</v>
      </c>
      <c r="B153" t="s">
        <v>206</v>
      </c>
      <c r="C153">
        <v>2</v>
      </c>
      <c r="D153" t="s">
        <v>208</v>
      </c>
      <c r="E153" t="str">
        <f t="shared" si="2"/>
        <v>2-Livrables ponctuels et limités à quelques projets.</v>
      </c>
    </row>
    <row r="154" spans="1:5" x14ac:dyDescent="0.3">
      <c r="A154" t="s">
        <v>319</v>
      </c>
      <c r="B154" t="s">
        <v>206</v>
      </c>
      <c r="C154">
        <v>3</v>
      </c>
      <c r="D154" t="s">
        <v>209</v>
      </c>
      <c r="E154" t="str">
        <f t="shared" si="2"/>
        <v>3-Livrables produits mais qualité et usage variables.</v>
      </c>
    </row>
    <row r="155" spans="1:5" x14ac:dyDescent="0.3">
      <c r="A155" t="s">
        <v>319</v>
      </c>
      <c r="B155" t="s">
        <v>206</v>
      </c>
      <c r="C155">
        <v>4</v>
      </c>
      <c r="D155" t="s">
        <v>210</v>
      </c>
      <c r="E155" t="str">
        <f t="shared" si="2"/>
        <v>4-Livrables produits systématiquement et réutilisables.</v>
      </c>
    </row>
    <row r="156" spans="1:5" x14ac:dyDescent="0.3">
      <c r="A156" t="s">
        <v>319</v>
      </c>
      <c r="B156" t="s">
        <v>206</v>
      </c>
      <c r="C156">
        <v>5</v>
      </c>
      <c r="D156" t="s">
        <v>211</v>
      </c>
      <c r="E156" t="str">
        <f t="shared" si="2"/>
        <v>5-Livrables produits systématiquement, standardisés et automatisés.</v>
      </c>
    </row>
    <row r="157" spans="1:5" x14ac:dyDescent="0.3">
      <c r="A157" t="s">
        <v>319</v>
      </c>
      <c r="B157" t="s">
        <v>212</v>
      </c>
      <c r="C157">
        <v>1</v>
      </c>
      <c r="D157" t="s">
        <v>213</v>
      </c>
      <c r="E157" t="str">
        <f t="shared" si="2"/>
        <v>1-Livrables inexistants ou inutilisables.</v>
      </c>
    </row>
    <row r="158" spans="1:5" x14ac:dyDescent="0.3">
      <c r="A158" t="s">
        <v>319</v>
      </c>
      <c r="B158" t="s">
        <v>212</v>
      </c>
      <c r="C158">
        <v>2</v>
      </c>
      <c r="D158" t="s">
        <v>214</v>
      </c>
      <c r="E158" t="str">
        <f t="shared" si="2"/>
        <v>2-Livrables peu clairs ou incomplets.</v>
      </c>
    </row>
    <row r="159" spans="1:5" x14ac:dyDescent="0.3">
      <c r="A159" t="s">
        <v>319</v>
      </c>
      <c r="B159" t="s">
        <v>212</v>
      </c>
      <c r="C159">
        <v>3</v>
      </c>
      <c r="D159" t="s">
        <v>215</v>
      </c>
      <c r="E159" t="str">
        <f t="shared" si="2"/>
        <v>3-Livrables compréhensibles mais perfectibles.</v>
      </c>
    </row>
    <row r="160" spans="1:5" x14ac:dyDescent="0.3">
      <c r="A160" t="s">
        <v>319</v>
      </c>
      <c r="B160" t="s">
        <v>212</v>
      </c>
      <c r="C160">
        <v>4</v>
      </c>
      <c r="D160" t="s">
        <v>216</v>
      </c>
      <c r="E160" t="str">
        <f t="shared" si="2"/>
        <v>4-Livrables clairs et adaptés aux besoins des parties prenantes.</v>
      </c>
    </row>
    <row r="161" spans="1:5" x14ac:dyDescent="0.3">
      <c r="A161" t="s">
        <v>319</v>
      </c>
      <c r="B161" t="s">
        <v>212</v>
      </c>
      <c r="C161">
        <v>5</v>
      </c>
      <c r="D161" t="s">
        <v>217</v>
      </c>
      <c r="E161" t="str">
        <f t="shared" si="2"/>
        <v>5-Livrables exemplaires et adaptés à tous les usages.</v>
      </c>
    </row>
    <row r="162" spans="1:5" x14ac:dyDescent="0.3">
      <c r="A162" t="s">
        <v>319</v>
      </c>
      <c r="B162" t="s">
        <v>218</v>
      </c>
      <c r="C162">
        <v>1</v>
      </c>
      <c r="D162" t="s">
        <v>219</v>
      </c>
      <c r="E162" t="str">
        <f t="shared" si="2"/>
        <v>1-Livrables obsolètes et non maintenus.</v>
      </c>
    </row>
    <row r="163" spans="1:5" x14ac:dyDescent="0.3">
      <c r="A163" t="s">
        <v>319</v>
      </c>
      <c r="B163" t="s">
        <v>218</v>
      </c>
      <c r="C163">
        <v>2</v>
      </c>
      <c r="D163" t="s">
        <v>220</v>
      </c>
      <c r="E163" t="str">
        <f t="shared" si="2"/>
        <v>2-Mises à jour irrégulières et manuelles.</v>
      </c>
    </row>
    <row r="164" spans="1:5" x14ac:dyDescent="0.3">
      <c r="A164" t="s">
        <v>319</v>
      </c>
      <c r="B164" t="s">
        <v>218</v>
      </c>
      <c r="C164">
        <v>3</v>
      </c>
      <c r="D164" t="s">
        <v>221</v>
      </c>
      <c r="E164" t="str">
        <f t="shared" si="2"/>
        <v>3-Mises à jour effectuées mais sans planification.</v>
      </c>
    </row>
    <row r="165" spans="1:5" x14ac:dyDescent="0.3">
      <c r="A165" t="s">
        <v>319</v>
      </c>
      <c r="B165" t="s">
        <v>218</v>
      </c>
      <c r="C165">
        <v>4</v>
      </c>
      <c r="D165" t="s">
        <v>222</v>
      </c>
      <c r="E165" t="str">
        <f t="shared" si="2"/>
        <v>4-Livrables mis à jour régulièrement.</v>
      </c>
    </row>
    <row r="166" spans="1:5" x14ac:dyDescent="0.3">
      <c r="A166" t="s">
        <v>319</v>
      </c>
      <c r="B166" t="s">
        <v>218</v>
      </c>
      <c r="C166">
        <v>5</v>
      </c>
      <c r="D166" t="s">
        <v>223</v>
      </c>
      <c r="E166" t="str">
        <f t="shared" si="2"/>
        <v>5-Livrables mis à jour en temps réel.</v>
      </c>
    </row>
    <row r="167" spans="1:5" x14ac:dyDescent="0.3">
      <c r="A167" t="s">
        <v>319</v>
      </c>
      <c r="B167" t="s">
        <v>224</v>
      </c>
      <c r="C167">
        <v>1</v>
      </c>
      <c r="D167" t="s">
        <v>225</v>
      </c>
      <c r="E167" t="str">
        <f t="shared" si="2"/>
        <v>1-Aucun référentiel partagé.</v>
      </c>
    </row>
    <row r="168" spans="1:5" x14ac:dyDescent="0.3">
      <c r="A168" t="s">
        <v>319</v>
      </c>
      <c r="B168" t="s">
        <v>224</v>
      </c>
      <c r="C168">
        <v>2</v>
      </c>
      <c r="D168" t="s">
        <v>226</v>
      </c>
      <c r="E168" t="str">
        <f t="shared" si="2"/>
        <v>2-Référentiel partiel et non centralisé.</v>
      </c>
    </row>
    <row r="169" spans="1:5" x14ac:dyDescent="0.3">
      <c r="A169" t="s">
        <v>319</v>
      </c>
      <c r="B169" t="s">
        <v>224</v>
      </c>
      <c r="C169">
        <v>3</v>
      </c>
      <c r="D169" t="s">
        <v>227</v>
      </c>
      <c r="E169" t="str">
        <f t="shared" si="2"/>
        <v>3-Référentiel disponible mais peu utilisé.</v>
      </c>
    </row>
    <row r="170" spans="1:5" x14ac:dyDescent="0.3">
      <c r="A170" t="s">
        <v>319</v>
      </c>
      <c r="B170" t="s">
        <v>224</v>
      </c>
      <c r="C170">
        <v>4</v>
      </c>
      <c r="D170" t="s">
        <v>228</v>
      </c>
      <c r="E170" t="str">
        <f t="shared" si="2"/>
        <v>4-Référentiel partagé et exploité.</v>
      </c>
    </row>
    <row r="171" spans="1:5" x14ac:dyDescent="0.3">
      <c r="A171" t="s">
        <v>319</v>
      </c>
      <c r="B171" t="s">
        <v>224</v>
      </c>
      <c r="C171">
        <v>5</v>
      </c>
      <c r="D171" t="s">
        <v>229</v>
      </c>
      <c r="E171" t="str">
        <f t="shared" si="2"/>
        <v>5-Référentiel collaboratif et totalement intégré.</v>
      </c>
    </row>
    <row r="172" spans="1:5" x14ac:dyDescent="0.3">
      <c r="A172" t="s">
        <v>319</v>
      </c>
      <c r="B172" t="s">
        <v>230</v>
      </c>
      <c r="C172">
        <v>1</v>
      </c>
      <c r="D172" t="s">
        <v>231</v>
      </c>
      <c r="E172" t="str">
        <f t="shared" si="2"/>
        <v>1-Livrables non intégrés aux processus.</v>
      </c>
    </row>
    <row r="173" spans="1:5" x14ac:dyDescent="0.3">
      <c r="A173" t="s">
        <v>319</v>
      </c>
      <c r="B173" t="s">
        <v>230</v>
      </c>
      <c r="C173">
        <v>2</v>
      </c>
      <c r="D173" t="s">
        <v>232</v>
      </c>
      <c r="E173" t="str">
        <f t="shared" si="2"/>
        <v>2-Intégration limitée dans certains projets pilotes.</v>
      </c>
    </row>
    <row r="174" spans="1:5" x14ac:dyDescent="0.3">
      <c r="A174" t="s">
        <v>319</v>
      </c>
      <c r="B174" t="s">
        <v>230</v>
      </c>
      <c r="C174">
        <v>3</v>
      </c>
      <c r="D174" t="s">
        <v>233</v>
      </c>
      <c r="E174" t="str">
        <f t="shared" si="2"/>
        <v>3-Intégration partielle aux processus.</v>
      </c>
    </row>
    <row r="175" spans="1:5" x14ac:dyDescent="0.3">
      <c r="A175" t="s">
        <v>319</v>
      </c>
      <c r="B175" t="s">
        <v>230</v>
      </c>
      <c r="C175">
        <v>4</v>
      </c>
      <c r="D175" t="s">
        <v>234</v>
      </c>
      <c r="E175" t="str">
        <f t="shared" si="2"/>
        <v>4-Livrables intégrés aux processus projets.</v>
      </c>
    </row>
    <row r="176" spans="1:5" x14ac:dyDescent="0.3">
      <c r="A176" t="s">
        <v>319</v>
      </c>
      <c r="B176" t="s">
        <v>230</v>
      </c>
      <c r="C176">
        <v>5</v>
      </c>
      <c r="D176" t="s">
        <v>235</v>
      </c>
      <c r="E176" t="str">
        <f t="shared" si="2"/>
        <v>5-Livrables institutionnalisés dans tous les processus.</v>
      </c>
    </row>
    <row r="177" spans="1:5" x14ac:dyDescent="0.3">
      <c r="A177" t="s">
        <v>320</v>
      </c>
      <c r="B177" t="s">
        <v>239</v>
      </c>
      <c r="C177">
        <v>1</v>
      </c>
      <c r="D177" t="s">
        <v>240</v>
      </c>
      <c r="E177" t="str">
        <f t="shared" si="2"/>
        <v>1-Aucun indicateur de performance défini.</v>
      </c>
    </row>
    <row r="178" spans="1:5" x14ac:dyDescent="0.3">
      <c r="A178" t="s">
        <v>320</v>
      </c>
      <c r="B178" t="s">
        <v>239</v>
      </c>
      <c r="C178">
        <v>2</v>
      </c>
      <c r="D178" t="s">
        <v>241</v>
      </c>
      <c r="E178" t="str">
        <f t="shared" si="2"/>
        <v>2-Indicateurs envisagés mais non déployés.</v>
      </c>
    </row>
    <row r="179" spans="1:5" x14ac:dyDescent="0.3">
      <c r="A179" t="s">
        <v>320</v>
      </c>
      <c r="B179" t="s">
        <v>239</v>
      </c>
      <c r="C179">
        <v>3</v>
      </c>
      <c r="D179" t="s">
        <v>242</v>
      </c>
      <c r="E179" t="str">
        <f t="shared" si="2"/>
        <v>3-Indicateurs définis mais usage limité.</v>
      </c>
    </row>
    <row r="180" spans="1:5" x14ac:dyDescent="0.3">
      <c r="A180" t="s">
        <v>320</v>
      </c>
      <c r="B180" t="s">
        <v>239</v>
      </c>
      <c r="C180">
        <v>4</v>
      </c>
      <c r="D180" t="s">
        <v>243</v>
      </c>
      <c r="E180" t="str">
        <f t="shared" si="2"/>
        <v>4-Indicateurs définis et suivis régulièrement.</v>
      </c>
    </row>
    <row r="181" spans="1:5" x14ac:dyDescent="0.3">
      <c r="A181" t="s">
        <v>320</v>
      </c>
      <c r="B181" t="s">
        <v>239</v>
      </c>
      <c r="C181">
        <v>5</v>
      </c>
      <c r="D181" t="s">
        <v>244</v>
      </c>
      <c r="E181" t="str">
        <f t="shared" si="2"/>
        <v>5-Indicateurs intégrés dans la gouvernance stratégique.</v>
      </c>
    </row>
    <row r="182" spans="1:5" x14ac:dyDescent="0.3">
      <c r="A182" t="s">
        <v>320</v>
      </c>
      <c r="B182" t="s">
        <v>245</v>
      </c>
      <c r="C182">
        <v>1</v>
      </c>
      <c r="D182" t="s">
        <v>246</v>
      </c>
      <c r="E182" t="str">
        <f t="shared" si="2"/>
        <v>1-Aucune mesure de la conformité aux principes.</v>
      </c>
    </row>
    <row r="183" spans="1:5" x14ac:dyDescent="0.3">
      <c r="A183" t="s">
        <v>320</v>
      </c>
      <c r="B183" t="s">
        <v>245</v>
      </c>
      <c r="C183">
        <v>2</v>
      </c>
      <c r="D183" t="s">
        <v>247</v>
      </c>
      <c r="E183" t="str">
        <f t="shared" si="2"/>
        <v>2-Conformité mesurée de manière ponctuelle.</v>
      </c>
    </row>
    <row r="184" spans="1:5" x14ac:dyDescent="0.3">
      <c r="A184" t="s">
        <v>320</v>
      </c>
      <c r="B184" t="s">
        <v>245</v>
      </c>
      <c r="C184">
        <v>3</v>
      </c>
      <c r="D184" t="s">
        <v>248</v>
      </c>
      <c r="E184" t="str">
        <f t="shared" si="2"/>
        <v>3-Conformité mesurée partiellement.</v>
      </c>
    </row>
    <row r="185" spans="1:5" x14ac:dyDescent="0.3">
      <c r="A185" t="s">
        <v>320</v>
      </c>
      <c r="B185" t="s">
        <v>245</v>
      </c>
      <c r="C185">
        <v>4</v>
      </c>
      <c r="D185" t="s">
        <v>249</v>
      </c>
      <c r="E185" t="str">
        <f t="shared" si="2"/>
        <v>4-Conformité contrôlée et pilotée.</v>
      </c>
    </row>
    <row r="186" spans="1:5" x14ac:dyDescent="0.3">
      <c r="A186" t="s">
        <v>320</v>
      </c>
      <c r="B186" t="s">
        <v>245</v>
      </c>
      <c r="C186">
        <v>5</v>
      </c>
      <c r="D186" t="s">
        <v>250</v>
      </c>
      <c r="E186" t="str">
        <f t="shared" si="2"/>
        <v>5-Conformité et impact mesurés en temps réel.</v>
      </c>
    </row>
    <row r="187" spans="1:5" x14ac:dyDescent="0.3">
      <c r="A187" t="s">
        <v>320</v>
      </c>
      <c r="B187" t="s">
        <v>251</v>
      </c>
      <c r="C187">
        <v>1</v>
      </c>
      <c r="D187" t="s">
        <v>252</v>
      </c>
      <c r="E187" t="str">
        <f t="shared" si="2"/>
        <v>1-Aucun suivi d’impact de l’architecture sur les projets.</v>
      </c>
    </row>
    <row r="188" spans="1:5" x14ac:dyDescent="0.3">
      <c r="A188" t="s">
        <v>320</v>
      </c>
      <c r="B188" t="s">
        <v>251</v>
      </c>
      <c r="C188">
        <v>2</v>
      </c>
      <c r="D188" t="s">
        <v>253</v>
      </c>
      <c r="E188" t="str">
        <f t="shared" si="2"/>
        <v>2-Impact évalué au cas par cas.</v>
      </c>
    </row>
    <row r="189" spans="1:5" x14ac:dyDescent="0.3">
      <c r="A189" t="s">
        <v>320</v>
      </c>
      <c r="B189" t="s">
        <v>251</v>
      </c>
      <c r="C189">
        <v>3</v>
      </c>
      <c r="D189" t="s">
        <v>254</v>
      </c>
      <c r="E189" t="str">
        <f t="shared" si="2"/>
        <v>3-Impact évalué mais pas systématiquement.</v>
      </c>
    </row>
    <row r="190" spans="1:5" x14ac:dyDescent="0.3">
      <c r="A190" t="s">
        <v>320</v>
      </c>
      <c r="B190" t="s">
        <v>251</v>
      </c>
      <c r="C190">
        <v>4</v>
      </c>
      <c r="D190" t="s">
        <v>255</v>
      </c>
      <c r="E190" t="str">
        <f t="shared" si="2"/>
        <v>4-Impact évalué avec retour d’expérience.</v>
      </c>
    </row>
    <row r="191" spans="1:5" x14ac:dyDescent="0.3">
      <c r="A191" t="s">
        <v>320</v>
      </c>
      <c r="B191" t="s">
        <v>251</v>
      </c>
      <c r="C191">
        <v>5</v>
      </c>
      <c r="D191" t="s">
        <v>256</v>
      </c>
      <c r="E191" t="str">
        <f t="shared" si="2"/>
        <v>5-Impact de l’architecture quantifié et piloté.</v>
      </c>
    </row>
    <row r="192" spans="1:5" x14ac:dyDescent="0.3">
      <c r="A192" t="s">
        <v>320</v>
      </c>
      <c r="B192" t="s">
        <v>257</v>
      </c>
      <c r="C192">
        <v>1</v>
      </c>
      <c r="D192" t="s">
        <v>258</v>
      </c>
      <c r="E192" t="str">
        <f t="shared" si="2"/>
        <v>1-Aucun partage des résultats avec les parties prenantes.</v>
      </c>
    </row>
    <row r="193" spans="1:5" x14ac:dyDescent="0.3">
      <c r="A193" t="s">
        <v>320</v>
      </c>
      <c r="B193" t="s">
        <v>257</v>
      </c>
      <c r="C193">
        <v>2</v>
      </c>
      <c r="D193" t="s">
        <v>259</v>
      </c>
      <c r="E193" t="str">
        <f t="shared" si="2"/>
        <v>2-Résultats partagés de façon informelle.</v>
      </c>
    </row>
    <row r="194" spans="1:5" x14ac:dyDescent="0.3">
      <c r="A194" t="s">
        <v>320</v>
      </c>
      <c r="B194" t="s">
        <v>257</v>
      </c>
      <c r="C194">
        <v>3</v>
      </c>
      <c r="D194" t="s">
        <v>260</v>
      </c>
      <c r="E194" t="str">
        <f t="shared" si="2"/>
        <v>3-Résultats partagés à certains acteurs seulement.</v>
      </c>
    </row>
    <row r="195" spans="1:5" x14ac:dyDescent="0.3">
      <c r="A195" t="s">
        <v>320</v>
      </c>
      <c r="B195" t="s">
        <v>257</v>
      </c>
      <c r="C195">
        <v>4</v>
      </c>
      <c r="D195" t="s">
        <v>261</v>
      </c>
      <c r="E195" t="str">
        <f t="shared" ref="E195:E226" si="3">C195&amp;"-"&amp;D195</f>
        <v>4-Résultats partagés de façon transparente.</v>
      </c>
    </row>
    <row r="196" spans="1:5" x14ac:dyDescent="0.3">
      <c r="A196" t="s">
        <v>320</v>
      </c>
      <c r="B196" t="s">
        <v>257</v>
      </c>
      <c r="C196">
        <v>5</v>
      </c>
      <c r="D196" t="s">
        <v>262</v>
      </c>
      <c r="E196" t="str">
        <f t="shared" si="3"/>
        <v>5-Résultats partagés proactivement et valorisés.</v>
      </c>
    </row>
    <row r="197" spans="1:5" x14ac:dyDescent="0.3">
      <c r="A197" t="s">
        <v>320</v>
      </c>
      <c r="B197" t="s">
        <v>263</v>
      </c>
      <c r="C197">
        <v>1</v>
      </c>
      <c r="D197" t="s">
        <v>264</v>
      </c>
      <c r="E197" t="str">
        <f t="shared" si="3"/>
        <v>1-Aucune démarche d’amélioration continue basée sur des indicateurs.</v>
      </c>
    </row>
    <row r="198" spans="1:5" x14ac:dyDescent="0.3">
      <c r="A198" t="s">
        <v>320</v>
      </c>
      <c r="B198" t="s">
        <v>263</v>
      </c>
      <c r="C198">
        <v>2</v>
      </c>
      <c r="D198" t="s">
        <v>265</v>
      </c>
      <c r="E198" t="str">
        <f t="shared" si="3"/>
        <v>2-Démarche d’amélioration en réflexion seulement.</v>
      </c>
    </row>
    <row r="199" spans="1:5" x14ac:dyDescent="0.3">
      <c r="A199" t="s">
        <v>320</v>
      </c>
      <c r="B199" t="s">
        <v>263</v>
      </c>
      <c r="C199">
        <v>3</v>
      </c>
      <c r="D199" t="s">
        <v>266</v>
      </c>
      <c r="E199" t="str">
        <f t="shared" si="3"/>
        <v>3-Amélioration ponctuelle des pratiques.</v>
      </c>
    </row>
    <row r="200" spans="1:5" x14ac:dyDescent="0.3">
      <c r="A200" t="s">
        <v>320</v>
      </c>
      <c r="B200" t="s">
        <v>263</v>
      </c>
      <c r="C200">
        <v>4</v>
      </c>
      <c r="D200" t="s">
        <v>267</v>
      </c>
      <c r="E200" t="str">
        <f t="shared" si="3"/>
        <v>4-Amélioration continue pilotée par les indicateurs.</v>
      </c>
    </row>
    <row r="201" spans="1:5" x14ac:dyDescent="0.3">
      <c r="A201" t="s">
        <v>320</v>
      </c>
      <c r="B201" t="s">
        <v>263</v>
      </c>
      <c r="C201">
        <v>5</v>
      </c>
      <c r="D201" t="s">
        <v>268</v>
      </c>
      <c r="E201" t="str">
        <f t="shared" si="3"/>
        <v>5-Amélioration continue institutionnalisée et mesurée.</v>
      </c>
    </row>
    <row r="202" spans="1:5" x14ac:dyDescent="0.3">
      <c r="A202" t="s">
        <v>321</v>
      </c>
      <c r="B202" t="s">
        <v>272</v>
      </c>
      <c r="C202">
        <v>1</v>
      </c>
      <c r="D202" t="s">
        <v>273</v>
      </c>
      <c r="E202" t="str">
        <f t="shared" si="3"/>
        <v>1-L’architecture est perçue comme une fonction isolée et non stratégique.</v>
      </c>
    </row>
    <row r="203" spans="1:5" x14ac:dyDescent="0.3">
      <c r="A203" t="s">
        <v>321</v>
      </c>
      <c r="B203" t="s">
        <v>272</v>
      </c>
      <c r="C203">
        <v>2</v>
      </c>
      <c r="D203" t="s">
        <v>274</v>
      </c>
      <c r="E203" t="str">
        <f t="shared" si="3"/>
        <v>2-Architecture reconnue ponctuellement mais sans ancrage stratégique.</v>
      </c>
    </row>
    <row r="204" spans="1:5" x14ac:dyDescent="0.3">
      <c r="A204" t="s">
        <v>321</v>
      </c>
      <c r="B204" t="s">
        <v>272</v>
      </c>
      <c r="C204">
        <v>3</v>
      </c>
      <c r="D204" t="s">
        <v>275</v>
      </c>
      <c r="E204" t="str">
        <f t="shared" si="3"/>
        <v>3-Architecture reconnue mais pas encore stratégique.</v>
      </c>
    </row>
    <row r="205" spans="1:5" x14ac:dyDescent="0.3">
      <c r="A205" t="s">
        <v>321</v>
      </c>
      <c r="B205" t="s">
        <v>272</v>
      </c>
      <c r="C205">
        <v>4</v>
      </c>
      <c r="D205" t="s">
        <v>276</v>
      </c>
      <c r="E205" t="str">
        <f t="shared" si="3"/>
        <v>4-Architecture reconnue comme fonction stratégique.</v>
      </c>
    </row>
    <row r="206" spans="1:5" x14ac:dyDescent="0.3">
      <c r="A206" t="s">
        <v>321</v>
      </c>
      <c r="B206" t="s">
        <v>272</v>
      </c>
      <c r="C206">
        <v>5</v>
      </c>
      <c r="D206" t="s">
        <v>277</v>
      </c>
      <c r="E206" t="str">
        <f t="shared" si="3"/>
        <v>5-Architecture institutionnalisée et stratégique dans l’organisation.</v>
      </c>
    </row>
    <row r="207" spans="1:5" x14ac:dyDescent="0.3">
      <c r="A207" t="s">
        <v>321</v>
      </c>
      <c r="B207" t="s">
        <v>278</v>
      </c>
      <c r="C207">
        <v>1</v>
      </c>
      <c r="D207" t="s">
        <v>279</v>
      </c>
      <c r="E207" t="str">
        <f t="shared" si="3"/>
        <v>1-Aucune intégration dans les processus projets.</v>
      </c>
    </row>
    <row r="208" spans="1:5" x14ac:dyDescent="0.3">
      <c r="A208" t="s">
        <v>321</v>
      </c>
      <c r="B208" t="s">
        <v>278</v>
      </c>
      <c r="C208">
        <v>2</v>
      </c>
      <c r="D208" t="s">
        <v>280</v>
      </c>
      <c r="E208" t="str">
        <f t="shared" si="3"/>
        <v>2-Intégration partielle dans certains projets.</v>
      </c>
    </row>
    <row r="209" spans="1:5" x14ac:dyDescent="0.3">
      <c r="A209" t="s">
        <v>321</v>
      </c>
      <c r="B209" t="s">
        <v>278</v>
      </c>
      <c r="C209">
        <v>3</v>
      </c>
      <c r="D209" t="s">
        <v>281</v>
      </c>
      <c r="E209" t="str">
        <f t="shared" si="3"/>
        <v>3-Intégration dans certains processus projets mais pas tous.</v>
      </c>
    </row>
    <row r="210" spans="1:5" x14ac:dyDescent="0.3">
      <c r="A210" t="s">
        <v>321</v>
      </c>
      <c r="B210" t="s">
        <v>278</v>
      </c>
      <c r="C210">
        <v>4</v>
      </c>
      <c r="D210" t="s">
        <v>282</v>
      </c>
      <c r="E210" t="str">
        <f t="shared" si="3"/>
        <v>4-Intégration systématique dans la gouvernance projets.</v>
      </c>
    </row>
    <row r="211" spans="1:5" x14ac:dyDescent="0.3">
      <c r="A211" t="s">
        <v>321</v>
      </c>
      <c r="B211" t="s">
        <v>278</v>
      </c>
      <c r="C211">
        <v>5</v>
      </c>
      <c r="D211" t="s">
        <v>283</v>
      </c>
      <c r="E211" t="str">
        <f t="shared" si="3"/>
        <v>5-Intégration totale et systématique dans la gouvernance projets.</v>
      </c>
    </row>
    <row r="212" spans="1:5" x14ac:dyDescent="0.3">
      <c r="A212" t="s">
        <v>321</v>
      </c>
      <c r="B212" t="s">
        <v>284</v>
      </c>
      <c r="C212">
        <v>1</v>
      </c>
      <c r="D212" t="s">
        <v>285</v>
      </c>
      <c r="E212" t="str">
        <f t="shared" si="3"/>
        <v>1-Architectes consultés trop tardivement ou jamais.</v>
      </c>
    </row>
    <row r="213" spans="1:5" x14ac:dyDescent="0.3">
      <c r="A213" t="s">
        <v>321</v>
      </c>
      <c r="B213" t="s">
        <v>284</v>
      </c>
      <c r="C213">
        <v>2</v>
      </c>
      <c r="D213" t="s">
        <v>286</v>
      </c>
      <c r="E213" t="str">
        <f t="shared" si="3"/>
        <v>2-Architectes impliqués sur certains projets mais rarement en amont.</v>
      </c>
    </row>
    <row r="214" spans="1:5" x14ac:dyDescent="0.3">
      <c r="A214" t="s">
        <v>321</v>
      </c>
      <c r="B214" t="s">
        <v>284</v>
      </c>
      <c r="C214">
        <v>3</v>
      </c>
      <c r="D214" t="s">
        <v>287</v>
      </c>
      <c r="E214" t="str">
        <f t="shared" si="3"/>
        <v>3-Architectes impliqués plus régulièrement mais sans systématisme.</v>
      </c>
    </row>
    <row r="215" spans="1:5" x14ac:dyDescent="0.3">
      <c r="A215" t="s">
        <v>321</v>
      </c>
      <c r="B215" t="s">
        <v>284</v>
      </c>
      <c r="C215">
        <v>4</v>
      </c>
      <c r="D215" t="s">
        <v>288</v>
      </c>
      <c r="E215" t="str">
        <f t="shared" si="3"/>
        <v>4-Architectes impliqués dès les phases amont.</v>
      </c>
    </row>
    <row r="216" spans="1:5" x14ac:dyDescent="0.3">
      <c r="A216" t="s">
        <v>321</v>
      </c>
      <c r="B216" t="s">
        <v>284</v>
      </c>
      <c r="C216">
        <v>5</v>
      </c>
      <c r="D216" t="s">
        <v>289</v>
      </c>
      <c r="E216" t="str">
        <f t="shared" si="3"/>
        <v>5-Architectes moteurs dès la conception stratégique.</v>
      </c>
    </row>
    <row r="217" spans="1:5" x14ac:dyDescent="0.3">
      <c r="A217" t="s">
        <v>321</v>
      </c>
      <c r="B217" t="s">
        <v>290</v>
      </c>
      <c r="C217">
        <v>1</v>
      </c>
      <c r="D217" t="s">
        <v>291</v>
      </c>
      <c r="E217" t="str">
        <f t="shared" si="3"/>
        <v>1-Peu de collaboration avec les autres fonctions clés.</v>
      </c>
    </row>
    <row r="218" spans="1:5" x14ac:dyDescent="0.3">
      <c r="A218" t="s">
        <v>321</v>
      </c>
      <c r="B218" t="s">
        <v>290</v>
      </c>
      <c r="C218">
        <v>2</v>
      </c>
      <c r="D218" t="s">
        <v>292</v>
      </c>
      <c r="E218" t="str">
        <f t="shared" si="3"/>
        <v>2-Collaboration limitée et ponctuelle.</v>
      </c>
    </row>
    <row r="219" spans="1:5" x14ac:dyDescent="0.3">
      <c r="A219" t="s">
        <v>321</v>
      </c>
      <c r="B219" t="s">
        <v>290</v>
      </c>
      <c r="C219">
        <v>3</v>
      </c>
      <c r="D219" t="s">
        <v>293</v>
      </c>
      <c r="E219" t="str">
        <f t="shared" si="3"/>
        <v>3-Collaboration en développement avec les autres fonctions clés.</v>
      </c>
    </row>
    <row r="220" spans="1:5" x14ac:dyDescent="0.3">
      <c r="A220" t="s">
        <v>321</v>
      </c>
      <c r="B220" t="s">
        <v>290</v>
      </c>
      <c r="C220">
        <v>4</v>
      </c>
      <c r="D220" t="s">
        <v>294</v>
      </c>
      <c r="E220" t="str">
        <f t="shared" si="3"/>
        <v>4-Collaboration fluide avec les autres fonctions clés.</v>
      </c>
    </row>
    <row r="221" spans="1:5" x14ac:dyDescent="0.3">
      <c r="A221" t="s">
        <v>321</v>
      </c>
      <c r="B221" t="s">
        <v>290</v>
      </c>
      <c r="C221">
        <v>5</v>
      </c>
      <c r="D221" t="s">
        <v>295</v>
      </c>
      <c r="E221" t="str">
        <f t="shared" si="3"/>
        <v>5-Collaboration proactive et permanente.</v>
      </c>
    </row>
    <row r="222" spans="1:5" x14ac:dyDescent="0.3">
      <c r="A222" t="s">
        <v>321</v>
      </c>
      <c r="B222" t="s">
        <v>296</v>
      </c>
      <c r="C222">
        <v>1</v>
      </c>
      <c r="D222" t="s">
        <v>297</v>
      </c>
      <c r="E222" t="str">
        <f t="shared" si="3"/>
        <v>1-Les changements organisationnels ignorent l’architecture.</v>
      </c>
    </row>
    <row r="223" spans="1:5" x14ac:dyDescent="0.3">
      <c r="A223" t="s">
        <v>321</v>
      </c>
      <c r="B223" t="s">
        <v>296</v>
      </c>
      <c r="C223">
        <v>2</v>
      </c>
      <c r="D223" t="s">
        <v>298</v>
      </c>
      <c r="E223" t="str">
        <f t="shared" si="3"/>
        <v>2-Changements organisationnels rarement synchronisés avec l’architecture.</v>
      </c>
    </row>
    <row r="224" spans="1:5" x14ac:dyDescent="0.3">
      <c r="A224" t="s">
        <v>321</v>
      </c>
      <c r="B224" t="s">
        <v>296</v>
      </c>
      <c r="C224">
        <v>3</v>
      </c>
      <c r="D224" t="s">
        <v>299</v>
      </c>
      <c r="E224" t="str">
        <f t="shared" si="3"/>
        <v>3-Prise en compte progressive des impacts organisationnels.</v>
      </c>
    </row>
    <row r="225" spans="1:5" x14ac:dyDescent="0.3">
      <c r="A225" t="s">
        <v>321</v>
      </c>
      <c r="B225" t="s">
        <v>296</v>
      </c>
      <c r="C225">
        <v>4</v>
      </c>
      <c r="D225" t="s">
        <v>300</v>
      </c>
      <c r="E225" t="str">
        <f t="shared" si="3"/>
        <v>4-Changements organisationnels analysés pour les impacts sur l’architecture.</v>
      </c>
    </row>
    <row r="226" spans="1:5" x14ac:dyDescent="0.3">
      <c r="A226" t="s">
        <v>321</v>
      </c>
      <c r="B226" t="s">
        <v>296</v>
      </c>
      <c r="C226">
        <v>5</v>
      </c>
      <c r="D226" t="s">
        <v>301</v>
      </c>
      <c r="E226" t="str">
        <f t="shared" si="3"/>
        <v>5-Changements organisationnels systématiquement synchronisés avec l’architecture.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2ACD-C9EF-48E5-B489-2E128AE9FA56}">
  <dimension ref="B1:E226"/>
  <sheetViews>
    <sheetView topLeftCell="A75" workbookViewId="0">
      <selection activeCell="B75" sqref="B1:B1048576"/>
    </sheetView>
  </sheetViews>
  <sheetFormatPr baseColWidth="10" defaultColWidth="8.88671875" defaultRowHeight="14.4" x14ac:dyDescent="0.3"/>
  <cols>
    <col min="2" max="2" width="56.33203125" customWidth="1"/>
    <col min="3" max="3" width="0" hidden="1" customWidth="1"/>
    <col min="4" max="4" width="98.44140625" hidden="1" customWidth="1"/>
    <col min="5" max="5" width="42.6640625" bestFit="1" customWidth="1"/>
  </cols>
  <sheetData>
    <row r="1" spans="2:5" x14ac:dyDescent="0.3">
      <c r="B1" s="1" t="s">
        <v>309</v>
      </c>
      <c r="C1" s="1" t="s">
        <v>310</v>
      </c>
      <c r="D1" s="1" t="s">
        <v>311</v>
      </c>
      <c r="E1" s="1" t="s">
        <v>308</v>
      </c>
    </row>
    <row r="2" spans="2:5" s="5" customFormat="1" x14ac:dyDescent="0.3">
      <c r="B2" s="5" t="s">
        <v>8</v>
      </c>
      <c r="C2" s="5">
        <v>1</v>
      </c>
      <c r="D2" s="5" t="s">
        <v>9</v>
      </c>
      <c r="E2" s="5" t="s">
        <v>313</v>
      </c>
    </row>
    <row r="3" spans="2:5" s="5" customFormat="1" x14ac:dyDescent="0.3">
      <c r="B3" s="5" t="s">
        <v>8</v>
      </c>
      <c r="C3" s="5">
        <v>2</v>
      </c>
      <c r="D3" s="5" t="s">
        <v>10</v>
      </c>
      <c r="E3" s="5" t="s">
        <v>313</v>
      </c>
    </row>
    <row r="4" spans="2:5" s="5" customFormat="1" x14ac:dyDescent="0.3">
      <c r="B4" s="5" t="s">
        <v>8</v>
      </c>
      <c r="C4" s="5">
        <v>3</v>
      </c>
      <c r="D4" s="5" t="s">
        <v>11</v>
      </c>
      <c r="E4" s="5" t="s">
        <v>313</v>
      </c>
    </row>
    <row r="5" spans="2:5" s="5" customFormat="1" x14ac:dyDescent="0.3">
      <c r="B5" s="5" t="s">
        <v>8</v>
      </c>
      <c r="C5" s="5">
        <v>4</v>
      </c>
      <c r="D5" s="5" t="s">
        <v>12</v>
      </c>
      <c r="E5" s="5" t="s">
        <v>313</v>
      </c>
    </row>
    <row r="6" spans="2:5" s="5" customFormat="1" x14ac:dyDescent="0.3">
      <c r="B6" s="5" t="s">
        <v>8</v>
      </c>
      <c r="C6" s="5">
        <v>5</v>
      </c>
      <c r="D6" s="5" t="s">
        <v>13</v>
      </c>
      <c r="E6" s="5" t="s">
        <v>313</v>
      </c>
    </row>
    <row r="7" spans="2:5" s="5" customFormat="1" x14ac:dyDescent="0.3">
      <c r="B7" s="5" t="s">
        <v>14</v>
      </c>
      <c r="C7" s="5">
        <v>1</v>
      </c>
      <c r="D7" s="5" t="s">
        <v>15</v>
      </c>
      <c r="E7" s="5" t="s">
        <v>313</v>
      </c>
    </row>
    <row r="8" spans="2:5" s="5" customFormat="1" x14ac:dyDescent="0.3">
      <c r="B8" s="5" t="s">
        <v>14</v>
      </c>
      <c r="C8" s="5">
        <v>2</v>
      </c>
      <c r="D8" s="5" t="s">
        <v>16</v>
      </c>
      <c r="E8" s="5" t="s">
        <v>313</v>
      </c>
    </row>
    <row r="9" spans="2:5" s="5" customFormat="1" x14ac:dyDescent="0.3">
      <c r="B9" s="5" t="s">
        <v>14</v>
      </c>
      <c r="C9" s="5">
        <v>3</v>
      </c>
      <c r="D9" s="5" t="s">
        <v>17</v>
      </c>
      <c r="E9" s="5" t="s">
        <v>313</v>
      </c>
    </row>
    <row r="10" spans="2:5" s="5" customFormat="1" x14ac:dyDescent="0.3">
      <c r="B10" s="5" t="s">
        <v>14</v>
      </c>
      <c r="C10" s="5">
        <v>4</v>
      </c>
      <c r="D10" s="5" t="s">
        <v>18</v>
      </c>
      <c r="E10" s="5" t="s">
        <v>313</v>
      </c>
    </row>
    <row r="11" spans="2:5" s="5" customFormat="1" x14ac:dyDescent="0.3">
      <c r="B11" s="5" t="s">
        <v>14</v>
      </c>
      <c r="C11" s="5">
        <v>5</v>
      </c>
      <c r="D11" s="5" t="s">
        <v>19</v>
      </c>
      <c r="E11" s="5" t="s">
        <v>313</v>
      </c>
    </row>
    <row r="12" spans="2:5" s="5" customFormat="1" x14ac:dyDescent="0.3">
      <c r="B12" s="5" t="s">
        <v>20</v>
      </c>
      <c r="C12" s="5">
        <v>1</v>
      </c>
      <c r="D12" s="5" t="s">
        <v>21</v>
      </c>
      <c r="E12" s="5" t="s">
        <v>313</v>
      </c>
    </row>
    <row r="13" spans="2:5" s="5" customFormat="1" x14ac:dyDescent="0.3">
      <c r="B13" s="5" t="s">
        <v>20</v>
      </c>
      <c r="C13" s="5">
        <v>2</v>
      </c>
      <c r="D13" s="5" t="s">
        <v>22</v>
      </c>
      <c r="E13" s="5" t="s">
        <v>313</v>
      </c>
    </row>
    <row r="14" spans="2:5" s="5" customFormat="1" x14ac:dyDescent="0.3">
      <c r="B14" s="5" t="s">
        <v>20</v>
      </c>
      <c r="C14" s="5">
        <v>3</v>
      </c>
      <c r="D14" s="5" t="s">
        <v>23</v>
      </c>
      <c r="E14" s="5" t="s">
        <v>313</v>
      </c>
    </row>
    <row r="15" spans="2:5" s="5" customFormat="1" x14ac:dyDescent="0.3">
      <c r="B15" s="5" t="s">
        <v>20</v>
      </c>
      <c r="C15" s="5">
        <v>4</v>
      </c>
      <c r="D15" s="5" t="s">
        <v>24</v>
      </c>
      <c r="E15" s="5" t="s">
        <v>313</v>
      </c>
    </row>
    <row r="16" spans="2:5" s="5" customFormat="1" x14ac:dyDescent="0.3">
      <c r="B16" s="5" t="s">
        <v>20</v>
      </c>
      <c r="C16" s="5">
        <v>5</v>
      </c>
      <c r="D16" s="5" t="s">
        <v>25</v>
      </c>
      <c r="E16" s="5" t="s">
        <v>313</v>
      </c>
    </row>
    <row r="17" spans="2:5" s="5" customFormat="1" x14ac:dyDescent="0.3">
      <c r="B17" s="5" t="s">
        <v>26</v>
      </c>
      <c r="C17" s="5">
        <v>1</v>
      </c>
      <c r="D17" s="5" t="s">
        <v>27</v>
      </c>
      <c r="E17" s="5" t="s">
        <v>313</v>
      </c>
    </row>
    <row r="18" spans="2:5" s="5" customFormat="1" x14ac:dyDescent="0.3">
      <c r="B18" s="5" t="s">
        <v>26</v>
      </c>
      <c r="C18" s="5">
        <v>2</v>
      </c>
      <c r="D18" s="5" t="s">
        <v>28</v>
      </c>
      <c r="E18" s="5" t="s">
        <v>313</v>
      </c>
    </row>
    <row r="19" spans="2:5" s="5" customFormat="1" x14ac:dyDescent="0.3">
      <c r="B19" s="5" t="s">
        <v>26</v>
      </c>
      <c r="C19" s="5">
        <v>3</v>
      </c>
      <c r="D19" s="5" t="s">
        <v>29</v>
      </c>
      <c r="E19" s="5" t="s">
        <v>313</v>
      </c>
    </row>
    <row r="20" spans="2:5" s="5" customFormat="1" x14ac:dyDescent="0.3">
      <c r="B20" s="5" t="s">
        <v>26</v>
      </c>
      <c r="C20" s="5">
        <v>4</v>
      </c>
      <c r="D20" s="5" t="s">
        <v>30</v>
      </c>
      <c r="E20" s="5" t="s">
        <v>313</v>
      </c>
    </row>
    <row r="21" spans="2:5" s="5" customFormat="1" x14ac:dyDescent="0.3">
      <c r="B21" s="5" t="s">
        <v>26</v>
      </c>
      <c r="C21" s="5">
        <v>5</v>
      </c>
      <c r="D21" s="5" t="s">
        <v>31</v>
      </c>
      <c r="E21" s="5" t="s">
        <v>313</v>
      </c>
    </row>
    <row r="22" spans="2:5" s="5" customFormat="1" x14ac:dyDescent="0.3">
      <c r="B22" s="5" t="s">
        <v>32</v>
      </c>
      <c r="C22" s="5">
        <v>1</v>
      </c>
      <c r="D22" s="5" t="s">
        <v>33</v>
      </c>
      <c r="E22" s="5" t="s">
        <v>313</v>
      </c>
    </row>
    <row r="23" spans="2:5" s="5" customFormat="1" x14ac:dyDescent="0.3">
      <c r="B23" s="5" t="s">
        <v>32</v>
      </c>
      <c r="C23" s="5">
        <v>2</v>
      </c>
      <c r="D23" s="5" t="s">
        <v>34</v>
      </c>
      <c r="E23" s="5" t="s">
        <v>313</v>
      </c>
    </row>
    <row r="24" spans="2:5" s="5" customFormat="1" x14ac:dyDescent="0.3">
      <c r="B24" s="5" t="s">
        <v>32</v>
      </c>
      <c r="C24" s="5">
        <v>3</v>
      </c>
      <c r="D24" s="5" t="s">
        <v>35</v>
      </c>
      <c r="E24" s="5" t="s">
        <v>313</v>
      </c>
    </row>
    <row r="25" spans="2:5" s="5" customFormat="1" x14ac:dyDescent="0.3">
      <c r="B25" s="5" t="s">
        <v>32</v>
      </c>
      <c r="C25" s="5">
        <v>4</v>
      </c>
      <c r="D25" s="5" t="s">
        <v>36</v>
      </c>
      <c r="E25" s="5" t="s">
        <v>313</v>
      </c>
    </row>
    <row r="26" spans="2:5" s="5" customFormat="1" x14ac:dyDescent="0.3">
      <c r="B26" s="5" t="s">
        <v>32</v>
      </c>
      <c r="C26" s="5">
        <v>5</v>
      </c>
      <c r="D26" s="5" t="s">
        <v>37</v>
      </c>
      <c r="E26" s="5" t="s">
        <v>313</v>
      </c>
    </row>
    <row r="27" spans="2:5" x14ac:dyDescent="0.3">
      <c r="B27" t="s">
        <v>41</v>
      </c>
      <c r="C27">
        <v>1</v>
      </c>
      <c r="D27" t="s">
        <v>42</v>
      </c>
      <c r="E27" t="s">
        <v>314</v>
      </c>
    </row>
    <row r="28" spans="2:5" x14ac:dyDescent="0.3">
      <c r="B28" t="s">
        <v>41</v>
      </c>
      <c r="C28">
        <v>2</v>
      </c>
      <c r="D28" t="s">
        <v>43</v>
      </c>
      <c r="E28" t="s">
        <v>314</v>
      </c>
    </row>
    <row r="29" spans="2:5" x14ac:dyDescent="0.3">
      <c r="B29" t="s">
        <v>41</v>
      </c>
      <c r="C29">
        <v>3</v>
      </c>
      <c r="D29" t="s">
        <v>44</v>
      </c>
      <c r="E29" t="s">
        <v>314</v>
      </c>
    </row>
    <row r="30" spans="2:5" x14ac:dyDescent="0.3">
      <c r="B30" t="s">
        <v>41</v>
      </c>
      <c r="C30">
        <v>4</v>
      </c>
      <c r="D30" t="s">
        <v>45</v>
      </c>
      <c r="E30" t="s">
        <v>314</v>
      </c>
    </row>
    <row r="31" spans="2:5" x14ac:dyDescent="0.3">
      <c r="B31" t="s">
        <v>41</v>
      </c>
      <c r="C31">
        <v>5</v>
      </c>
      <c r="D31" t="s">
        <v>46</v>
      </c>
      <c r="E31" t="s">
        <v>314</v>
      </c>
    </row>
    <row r="32" spans="2:5" x14ac:dyDescent="0.3">
      <c r="B32" t="s">
        <v>47</v>
      </c>
      <c r="C32">
        <v>1</v>
      </c>
      <c r="D32" t="s">
        <v>48</v>
      </c>
      <c r="E32" t="s">
        <v>314</v>
      </c>
    </row>
    <row r="33" spans="2:5" x14ac:dyDescent="0.3">
      <c r="B33" t="s">
        <v>47</v>
      </c>
      <c r="C33">
        <v>2</v>
      </c>
      <c r="D33" t="s">
        <v>49</v>
      </c>
      <c r="E33" t="s">
        <v>314</v>
      </c>
    </row>
    <row r="34" spans="2:5" x14ac:dyDescent="0.3">
      <c r="B34" t="s">
        <v>47</v>
      </c>
      <c r="C34">
        <v>3</v>
      </c>
      <c r="D34" t="s">
        <v>50</v>
      </c>
      <c r="E34" t="s">
        <v>314</v>
      </c>
    </row>
    <row r="35" spans="2:5" x14ac:dyDescent="0.3">
      <c r="B35" t="s">
        <v>47</v>
      </c>
      <c r="C35">
        <v>4</v>
      </c>
      <c r="D35" t="s">
        <v>51</v>
      </c>
      <c r="E35" t="s">
        <v>314</v>
      </c>
    </row>
    <row r="36" spans="2:5" x14ac:dyDescent="0.3">
      <c r="B36" t="s">
        <v>47</v>
      </c>
      <c r="C36">
        <v>5</v>
      </c>
      <c r="D36" t="s">
        <v>52</v>
      </c>
      <c r="E36" t="s">
        <v>314</v>
      </c>
    </row>
    <row r="37" spans="2:5" x14ac:dyDescent="0.3">
      <c r="B37" t="s">
        <v>53</v>
      </c>
      <c r="C37">
        <v>1</v>
      </c>
      <c r="D37" t="s">
        <v>54</v>
      </c>
      <c r="E37" t="s">
        <v>314</v>
      </c>
    </row>
    <row r="38" spans="2:5" x14ac:dyDescent="0.3">
      <c r="B38" t="s">
        <v>53</v>
      </c>
      <c r="C38">
        <v>2</v>
      </c>
      <c r="D38" t="s">
        <v>55</v>
      </c>
      <c r="E38" t="s">
        <v>314</v>
      </c>
    </row>
    <row r="39" spans="2:5" x14ac:dyDescent="0.3">
      <c r="B39" t="s">
        <v>53</v>
      </c>
      <c r="C39">
        <v>3</v>
      </c>
      <c r="D39" t="s">
        <v>56</v>
      </c>
      <c r="E39" t="s">
        <v>314</v>
      </c>
    </row>
    <row r="40" spans="2:5" x14ac:dyDescent="0.3">
      <c r="B40" t="s">
        <v>53</v>
      </c>
      <c r="C40">
        <v>4</v>
      </c>
      <c r="D40" t="s">
        <v>57</v>
      </c>
      <c r="E40" t="s">
        <v>314</v>
      </c>
    </row>
    <row r="41" spans="2:5" x14ac:dyDescent="0.3">
      <c r="B41" t="s">
        <v>53</v>
      </c>
      <c r="C41">
        <v>5</v>
      </c>
      <c r="D41" t="s">
        <v>58</v>
      </c>
      <c r="E41" t="s">
        <v>314</v>
      </c>
    </row>
    <row r="42" spans="2:5" x14ac:dyDescent="0.3">
      <c r="B42" t="s">
        <v>59</v>
      </c>
      <c r="C42">
        <v>1</v>
      </c>
      <c r="D42" t="s">
        <v>60</v>
      </c>
      <c r="E42" t="s">
        <v>314</v>
      </c>
    </row>
    <row r="43" spans="2:5" x14ac:dyDescent="0.3">
      <c r="B43" t="s">
        <v>59</v>
      </c>
      <c r="C43">
        <v>2</v>
      </c>
      <c r="D43" t="s">
        <v>61</v>
      </c>
      <c r="E43" t="s">
        <v>314</v>
      </c>
    </row>
    <row r="44" spans="2:5" x14ac:dyDescent="0.3">
      <c r="B44" t="s">
        <v>59</v>
      </c>
      <c r="C44">
        <v>3</v>
      </c>
      <c r="D44" t="s">
        <v>62</v>
      </c>
      <c r="E44" t="s">
        <v>314</v>
      </c>
    </row>
    <row r="45" spans="2:5" x14ac:dyDescent="0.3">
      <c r="B45" t="s">
        <v>59</v>
      </c>
      <c r="C45">
        <v>4</v>
      </c>
      <c r="D45" t="s">
        <v>63</v>
      </c>
      <c r="E45" t="s">
        <v>314</v>
      </c>
    </row>
    <row r="46" spans="2:5" x14ac:dyDescent="0.3">
      <c r="B46" t="s">
        <v>59</v>
      </c>
      <c r="C46">
        <v>5</v>
      </c>
      <c r="D46" t="s">
        <v>64</v>
      </c>
      <c r="E46" t="s">
        <v>314</v>
      </c>
    </row>
    <row r="47" spans="2:5" x14ac:dyDescent="0.3">
      <c r="B47" t="s">
        <v>65</v>
      </c>
      <c r="C47">
        <v>1</v>
      </c>
      <c r="D47" t="s">
        <v>66</v>
      </c>
      <c r="E47" t="s">
        <v>314</v>
      </c>
    </row>
    <row r="48" spans="2:5" x14ac:dyDescent="0.3">
      <c r="B48" t="s">
        <v>65</v>
      </c>
      <c r="C48">
        <v>2</v>
      </c>
      <c r="D48" t="s">
        <v>67</v>
      </c>
      <c r="E48" t="s">
        <v>314</v>
      </c>
    </row>
    <row r="49" spans="2:5" x14ac:dyDescent="0.3">
      <c r="B49" t="s">
        <v>65</v>
      </c>
      <c r="C49">
        <v>3</v>
      </c>
      <c r="D49" t="s">
        <v>68</v>
      </c>
      <c r="E49" t="s">
        <v>314</v>
      </c>
    </row>
    <row r="50" spans="2:5" x14ac:dyDescent="0.3">
      <c r="B50" t="s">
        <v>65</v>
      </c>
      <c r="C50">
        <v>4</v>
      </c>
      <c r="D50" t="s">
        <v>69</v>
      </c>
      <c r="E50" t="s">
        <v>314</v>
      </c>
    </row>
    <row r="51" spans="2:5" x14ac:dyDescent="0.3">
      <c r="B51" t="s">
        <v>65</v>
      </c>
      <c r="C51">
        <v>5</v>
      </c>
      <c r="D51" t="s">
        <v>70</v>
      </c>
      <c r="E51" t="s">
        <v>314</v>
      </c>
    </row>
    <row r="52" spans="2:5" x14ac:dyDescent="0.3">
      <c r="B52" t="s">
        <v>74</v>
      </c>
      <c r="C52">
        <v>1</v>
      </c>
      <c r="D52" t="s">
        <v>75</v>
      </c>
      <c r="E52" t="s">
        <v>315</v>
      </c>
    </row>
    <row r="53" spans="2:5" x14ac:dyDescent="0.3">
      <c r="B53" t="s">
        <v>74</v>
      </c>
      <c r="C53">
        <v>2</v>
      </c>
      <c r="D53" t="s">
        <v>76</v>
      </c>
      <c r="E53" t="s">
        <v>315</v>
      </c>
    </row>
    <row r="54" spans="2:5" x14ac:dyDescent="0.3">
      <c r="B54" t="s">
        <v>74</v>
      </c>
      <c r="C54">
        <v>3</v>
      </c>
      <c r="D54" t="s">
        <v>77</v>
      </c>
      <c r="E54" t="s">
        <v>315</v>
      </c>
    </row>
    <row r="55" spans="2:5" x14ac:dyDescent="0.3">
      <c r="B55" t="s">
        <v>74</v>
      </c>
      <c r="C55">
        <v>4</v>
      </c>
      <c r="D55" t="s">
        <v>78</v>
      </c>
      <c r="E55" t="s">
        <v>315</v>
      </c>
    </row>
    <row r="56" spans="2:5" x14ac:dyDescent="0.3">
      <c r="B56" t="s">
        <v>74</v>
      </c>
      <c r="C56">
        <v>5</v>
      </c>
      <c r="D56" t="s">
        <v>79</v>
      </c>
      <c r="E56" t="s">
        <v>315</v>
      </c>
    </row>
    <row r="57" spans="2:5" x14ac:dyDescent="0.3">
      <c r="B57" t="s">
        <v>80</v>
      </c>
      <c r="C57">
        <v>1</v>
      </c>
      <c r="D57" t="s">
        <v>81</v>
      </c>
      <c r="E57" t="s">
        <v>315</v>
      </c>
    </row>
    <row r="58" spans="2:5" x14ac:dyDescent="0.3">
      <c r="B58" t="s">
        <v>80</v>
      </c>
      <c r="C58">
        <v>2</v>
      </c>
      <c r="D58" t="s">
        <v>82</v>
      </c>
      <c r="E58" t="s">
        <v>315</v>
      </c>
    </row>
    <row r="59" spans="2:5" x14ac:dyDescent="0.3">
      <c r="B59" t="s">
        <v>80</v>
      </c>
      <c r="C59">
        <v>3</v>
      </c>
      <c r="D59" t="s">
        <v>83</v>
      </c>
      <c r="E59" t="s">
        <v>315</v>
      </c>
    </row>
    <row r="60" spans="2:5" x14ac:dyDescent="0.3">
      <c r="B60" t="s">
        <v>80</v>
      </c>
      <c r="C60">
        <v>4</v>
      </c>
      <c r="D60" t="s">
        <v>84</v>
      </c>
      <c r="E60" t="s">
        <v>315</v>
      </c>
    </row>
    <row r="61" spans="2:5" x14ac:dyDescent="0.3">
      <c r="B61" t="s">
        <v>80</v>
      </c>
      <c r="C61">
        <v>5</v>
      </c>
      <c r="D61" t="s">
        <v>85</v>
      </c>
      <c r="E61" t="s">
        <v>315</v>
      </c>
    </row>
    <row r="62" spans="2:5" x14ac:dyDescent="0.3">
      <c r="B62" t="s">
        <v>86</v>
      </c>
      <c r="C62">
        <v>1</v>
      </c>
      <c r="D62" t="s">
        <v>87</v>
      </c>
      <c r="E62" t="s">
        <v>315</v>
      </c>
    </row>
    <row r="63" spans="2:5" x14ac:dyDescent="0.3">
      <c r="B63" t="s">
        <v>86</v>
      </c>
      <c r="C63">
        <v>2</v>
      </c>
      <c r="D63" t="s">
        <v>88</v>
      </c>
      <c r="E63" t="s">
        <v>315</v>
      </c>
    </row>
    <row r="64" spans="2:5" x14ac:dyDescent="0.3">
      <c r="B64" t="s">
        <v>86</v>
      </c>
      <c r="C64">
        <v>3</v>
      </c>
      <c r="D64" t="s">
        <v>89</v>
      </c>
      <c r="E64" t="s">
        <v>315</v>
      </c>
    </row>
    <row r="65" spans="2:5" x14ac:dyDescent="0.3">
      <c r="B65" t="s">
        <v>86</v>
      </c>
      <c r="C65">
        <v>4</v>
      </c>
      <c r="D65" t="s">
        <v>90</v>
      </c>
      <c r="E65" t="s">
        <v>315</v>
      </c>
    </row>
    <row r="66" spans="2:5" x14ac:dyDescent="0.3">
      <c r="B66" t="s">
        <v>86</v>
      </c>
      <c r="C66">
        <v>5</v>
      </c>
      <c r="D66" t="s">
        <v>91</v>
      </c>
      <c r="E66" t="s">
        <v>315</v>
      </c>
    </row>
    <row r="67" spans="2:5" x14ac:dyDescent="0.3">
      <c r="B67" t="s">
        <v>92</v>
      </c>
      <c r="C67">
        <v>1</v>
      </c>
      <c r="D67" t="s">
        <v>93</v>
      </c>
      <c r="E67" t="s">
        <v>315</v>
      </c>
    </row>
    <row r="68" spans="2:5" x14ac:dyDescent="0.3">
      <c r="B68" t="s">
        <v>92</v>
      </c>
      <c r="C68">
        <v>2</v>
      </c>
      <c r="D68" t="s">
        <v>94</v>
      </c>
      <c r="E68" t="s">
        <v>315</v>
      </c>
    </row>
    <row r="69" spans="2:5" x14ac:dyDescent="0.3">
      <c r="B69" t="s">
        <v>92</v>
      </c>
      <c r="C69">
        <v>3</v>
      </c>
      <c r="D69" t="s">
        <v>95</v>
      </c>
      <c r="E69" t="s">
        <v>315</v>
      </c>
    </row>
    <row r="70" spans="2:5" x14ac:dyDescent="0.3">
      <c r="B70" t="s">
        <v>92</v>
      </c>
      <c r="C70">
        <v>4</v>
      </c>
      <c r="D70" t="s">
        <v>96</v>
      </c>
      <c r="E70" t="s">
        <v>315</v>
      </c>
    </row>
    <row r="71" spans="2:5" x14ac:dyDescent="0.3">
      <c r="B71" t="s">
        <v>92</v>
      </c>
      <c r="C71">
        <v>5</v>
      </c>
      <c r="D71" t="s">
        <v>97</v>
      </c>
      <c r="E71" t="s">
        <v>315</v>
      </c>
    </row>
    <row r="72" spans="2:5" x14ac:dyDescent="0.3">
      <c r="B72" t="s">
        <v>98</v>
      </c>
      <c r="C72">
        <v>1</v>
      </c>
      <c r="D72" t="s">
        <v>99</v>
      </c>
      <c r="E72" t="s">
        <v>315</v>
      </c>
    </row>
    <row r="73" spans="2:5" x14ac:dyDescent="0.3">
      <c r="B73" t="s">
        <v>98</v>
      </c>
      <c r="C73">
        <v>2</v>
      </c>
      <c r="D73" t="s">
        <v>100</v>
      </c>
      <c r="E73" t="s">
        <v>315</v>
      </c>
    </row>
    <row r="74" spans="2:5" x14ac:dyDescent="0.3">
      <c r="B74" t="s">
        <v>98</v>
      </c>
      <c r="C74">
        <v>3</v>
      </c>
      <c r="D74" t="s">
        <v>101</v>
      </c>
      <c r="E74" t="s">
        <v>315</v>
      </c>
    </row>
    <row r="75" spans="2:5" x14ac:dyDescent="0.3">
      <c r="B75" t="s">
        <v>98</v>
      </c>
      <c r="C75">
        <v>4</v>
      </c>
      <c r="D75" t="s">
        <v>102</v>
      </c>
      <c r="E75" t="s">
        <v>315</v>
      </c>
    </row>
    <row r="76" spans="2:5" x14ac:dyDescent="0.3">
      <c r="B76" t="s">
        <v>98</v>
      </c>
      <c r="C76">
        <v>5</v>
      </c>
      <c r="D76" t="s">
        <v>103</v>
      </c>
      <c r="E76" t="s">
        <v>315</v>
      </c>
    </row>
    <row r="77" spans="2:5" x14ac:dyDescent="0.3">
      <c r="B77" t="s">
        <v>107</v>
      </c>
      <c r="C77">
        <v>1</v>
      </c>
      <c r="D77" t="s">
        <v>108</v>
      </c>
      <c r="E77" t="s">
        <v>316</v>
      </c>
    </row>
    <row r="78" spans="2:5" x14ac:dyDescent="0.3">
      <c r="B78" t="s">
        <v>107</v>
      </c>
      <c r="C78">
        <v>2</v>
      </c>
      <c r="D78" t="s">
        <v>109</v>
      </c>
      <c r="E78" t="s">
        <v>316</v>
      </c>
    </row>
    <row r="79" spans="2:5" x14ac:dyDescent="0.3">
      <c r="B79" t="s">
        <v>107</v>
      </c>
      <c r="C79">
        <v>3</v>
      </c>
      <c r="D79" t="s">
        <v>110</v>
      </c>
      <c r="E79" t="s">
        <v>316</v>
      </c>
    </row>
    <row r="80" spans="2:5" x14ac:dyDescent="0.3">
      <c r="B80" t="s">
        <v>107</v>
      </c>
      <c r="C80">
        <v>4</v>
      </c>
      <c r="D80" t="s">
        <v>111</v>
      </c>
      <c r="E80" t="s">
        <v>316</v>
      </c>
    </row>
    <row r="81" spans="2:5" x14ac:dyDescent="0.3">
      <c r="B81" t="s">
        <v>107</v>
      </c>
      <c r="C81">
        <v>5</v>
      </c>
      <c r="D81" t="s">
        <v>112</v>
      </c>
      <c r="E81" t="s">
        <v>316</v>
      </c>
    </row>
    <row r="82" spans="2:5" x14ac:dyDescent="0.3">
      <c r="B82" t="s">
        <v>113</v>
      </c>
      <c r="C82">
        <v>1</v>
      </c>
      <c r="D82" t="s">
        <v>114</v>
      </c>
      <c r="E82" t="s">
        <v>316</v>
      </c>
    </row>
    <row r="83" spans="2:5" x14ac:dyDescent="0.3">
      <c r="B83" t="s">
        <v>113</v>
      </c>
      <c r="C83">
        <v>2</v>
      </c>
      <c r="D83" t="s">
        <v>115</v>
      </c>
      <c r="E83" t="s">
        <v>316</v>
      </c>
    </row>
    <row r="84" spans="2:5" x14ac:dyDescent="0.3">
      <c r="B84" t="s">
        <v>113</v>
      </c>
      <c r="C84">
        <v>3</v>
      </c>
      <c r="D84" t="s">
        <v>116</v>
      </c>
      <c r="E84" t="s">
        <v>316</v>
      </c>
    </row>
    <row r="85" spans="2:5" x14ac:dyDescent="0.3">
      <c r="B85" t="s">
        <v>113</v>
      </c>
      <c r="C85">
        <v>4</v>
      </c>
      <c r="D85" t="s">
        <v>117</v>
      </c>
      <c r="E85" t="s">
        <v>316</v>
      </c>
    </row>
    <row r="86" spans="2:5" x14ac:dyDescent="0.3">
      <c r="B86" t="s">
        <v>113</v>
      </c>
      <c r="C86">
        <v>5</v>
      </c>
      <c r="D86" t="s">
        <v>118</v>
      </c>
      <c r="E86" t="s">
        <v>316</v>
      </c>
    </row>
    <row r="87" spans="2:5" x14ac:dyDescent="0.3">
      <c r="B87" t="s">
        <v>119</v>
      </c>
      <c r="C87">
        <v>1</v>
      </c>
      <c r="D87" t="s">
        <v>120</v>
      </c>
      <c r="E87" t="s">
        <v>316</v>
      </c>
    </row>
    <row r="88" spans="2:5" x14ac:dyDescent="0.3">
      <c r="B88" t="s">
        <v>119</v>
      </c>
      <c r="C88">
        <v>2</v>
      </c>
      <c r="D88" t="s">
        <v>121</v>
      </c>
      <c r="E88" t="s">
        <v>316</v>
      </c>
    </row>
    <row r="89" spans="2:5" x14ac:dyDescent="0.3">
      <c r="B89" t="s">
        <v>119</v>
      </c>
      <c r="C89">
        <v>3</v>
      </c>
      <c r="D89" t="s">
        <v>122</v>
      </c>
      <c r="E89" t="s">
        <v>316</v>
      </c>
    </row>
    <row r="90" spans="2:5" x14ac:dyDescent="0.3">
      <c r="B90" t="s">
        <v>119</v>
      </c>
      <c r="C90">
        <v>4</v>
      </c>
      <c r="D90" t="s">
        <v>123</v>
      </c>
      <c r="E90" t="s">
        <v>316</v>
      </c>
    </row>
    <row r="91" spans="2:5" x14ac:dyDescent="0.3">
      <c r="B91" t="s">
        <v>119</v>
      </c>
      <c r="C91">
        <v>5</v>
      </c>
      <c r="D91" t="s">
        <v>124</v>
      </c>
      <c r="E91" t="s">
        <v>316</v>
      </c>
    </row>
    <row r="92" spans="2:5" x14ac:dyDescent="0.3">
      <c r="B92" t="s">
        <v>125</v>
      </c>
      <c r="C92">
        <v>1</v>
      </c>
      <c r="D92" t="s">
        <v>126</v>
      </c>
      <c r="E92" t="s">
        <v>316</v>
      </c>
    </row>
    <row r="93" spans="2:5" x14ac:dyDescent="0.3">
      <c r="B93" t="s">
        <v>125</v>
      </c>
      <c r="C93">
        <v>2</v>
      </c>
      <c r="D93" t="s">
        <v>127</v>
      </c>
      <c r="E93" t="s">
        <v>316</v>
      </c>
    </row>
    <row r="94" spans="2:5" x14ac:dyDescent="0.3">
      <c r="B94" t="s">
        <v>125</v>
      </c>
      <c r="C94">
        <v>3</v>
      </c>
      <c r="D94" t="s">
        <v>128</v>
      </c>
      <c r="E94" t="s">
        <v>316</v>
      </c>
    </row>
    <row r="95" spans="2:5" x14ac:dyDescent="0.3">
      <c r="B95" t="s">
        <v>125</v>
      </c>
      <c r="C95">
        <v>4</v>
      </c>
      <c r="D95" t="s">
        <v>129</v>
      </c>
      <c r="E95" t="s">
        <v>316</v>
      </c>
    </row>
    <row r="96" spans="2:5" x14ac:dyDescent="0.3">
      <c r="B96" t="s">
        <v>125</v>
      </c>
      <c r="C96">
        <v>5</v>
      </c>
      <c r="D96" t="s">
        <v>130</v>
      </c>
      <c r="E96" t="s">
        <v>316</v>
      </c>
    </row>
    <row r="97" spans="2:5" x14ac:dyDescent="0.3">
      <c r="B97" t="s">
        <v>131</v>
      </c>
      <c r="C97">
        <v>1</v>
      </c>
      <c r="D97" t="s">
        <v>132</v>
      </c>
      <c r="E97" t="s">
        <v>316</v>
      </c>
    </row>
    <row r="98" spans="2:5" x14ac:dyDescent="0.3">
      <c r="B98" t="s">
        <v>131</v>
      </c>
      <c r="C98">
        <v>2</v>
      </c>
      <c r="D98" t="s">
        <v>133</v>
      </c>
      <c r="E98" t="s">
        <v>316</v>
      </c>
    </row>
    <row r="99" spans="2:5" x14ac:dyDescent="0.3">
      <c r="B99" t="s">
        <v>131</v>
      </c>
      <c r="C99">
        <v>3</v>
      </c>
      <c r="D99" t="s">
        <v>134</v>
      </c>
      <c r="E99" t="s">
        <v>316</v>
      </c>
    </row>
    <row r="100" spans="2:5" x14ac:dyDescent="0.3">
      <c r="B100" t="s">
        <v>131</v>
      </c>
      <c r="C100">
        <v>4</v>
      </c>
      <c r="D100" t="s">
        <v>135</v>
      </c>
      <c r="E100" t="s">
        <v>316</v>
      </c>
    </row>
    <row r="101" spans="2:5" x14ac:dyDescent="0.3">
      <c r="B101" t="s">
        <v>131</v>
      </c>
      <c r="C101">
        <v>5</v>
      </c>
      <c r="D101" t="s">
        <v>136</v>
      </c>
      <c r="E101" t="s">
        <v>316</v>
      </c>
    </row>
    <row r="102" spans="2:5" x14ac:dyDescent="0.3">
      <c r="B102" t="s">
        <v>140</v>
      </c>
      <c r="C102">
        <v>1</v>
      </c>
      <c r="D102" t="s">
        <v>141</v>
      </c>
      <c r="E102" t="s">
        <v>317</v>
      </c>
    </row>
    <row r="103" spans="2:5" x14ac:dyDescent="0.3">
      <c r="B103" t="s">
        <v>140</v>
      </c>
      <c r="C103">
        <v>2</v>
      </c>
      <c r="D103" t="s">
        <v>142</v>
      </c>
      <c r="E103" t="s">
        <v>317</v>
      </c>
    </row>
    <row r="104" spans="2:5" x14ac:dyDescent="0.3">
      <c r="B104" t="s">
        <v>140</v>
      </c>
      <c r="C104">
        <v>3</v>
      </c>
      <c r="D104" t="s">
        <v>143</v>
      </c>
      <c r="E104" t="s">
        <v>317</v>
      </c>
    </row>
    <row r="105" spans="2:5" x14ac:dyDescent="0.3">
      <c r="B105" t="s">
        <v>140</v>
      </c>
      <c r="C105">
        <v>4</v>
      </c>
      <c r="D105" t="s">
        <v>144</v>
      </c>
      <c r="E105" t="s">
        <v>317</v>
      </c>
    </row>
    <row r="106" spans="2:5" x14ac:dyDescent="0.3">
      <c r="B106" t="s">
        <v>140</v>
      </c>
      <c r="C106">
        <v>5</v>
      </c>
      <c r="D106" t="s">
        <v>145</v>
      </c>
      <c r="E106" t="s">
        <v>317</v>
      </c>
    </row>
    <row r="107" spans="2:5" x14ac:dyDescent="0.3">
      <c r="B107" t="s">
        <v>146</v>
      </c>
      <c r="C107">
        <v>1</v>
      </c>
      <c r="D107" t="s">
        <v>147</v>
      </c>
      <c r="E107" t="s">
        <v>317</v>
      </c>
    </row>
    <row r="108" spans="2:5" x14ac:dyDescent="0.3">
      <c r="B108" t="s">
        <v>146</v>
      </c>
      <c r="C108">
        <v>2</v>
      </c>
      <c r="D108" t="s">
        <v>148</v>
      </c>
      <c r="E108" t="s">
        <v>317</v>
      </c>
    </row>
    <row r="109" spans="2:5" x14ac:dyDescent="0.3">
      <c r="B109" t="s">
        <v>146</v>
      </c>
      <c r="C109">
        <v>3</v>
      </c>
      <c r="D109" t="s">
        <v>149</v>
      </c>
      <c r="E109" t="s">
        <v>317</v>
      </c>
    </row>
    <row r="110" spans="2:5" x14ac:dyDescent="0.3">
      <c r="B110" t="s">
        <v>146</v>
      </c>
      <c r="C110">
        <v>4</v>
      </c>
      <c r="D110" t="s">
        <v>150</v>
      </c>
      <c r="E110" t="s">
        <v>317</v>
      </c>
    </row>
    <row r="111" spans="2:5" x14ac:dyDescent="0.3">
      <c r="B111" t="s">
        <v>146</v>
      </c>
      <c r="C111">
        <v>5</v>
      </c>
      <c r="D111" t="s">
        <v>151</v>
      </c>
      <c r="E111" t="s">
        <v>317</v>
      </c>
    </row>
    <row r="112" spans="2:5" x14ac:dyDescent="0.3">
      <c r="B112" t="s">
        <v>152</v>
      </c>
      <c r="C112">
        <v>1</v>
      </c>
      <c r="D112" t="s">
        <v>153</v>
      </c>
      <c r="E112" t="s">
        <v>317</v>
      </c>
    </row>
    <row r="113" spans="2:5" x14ac:dyDescent="0.3">
      <c r="B113" t="s">
        <v>152</v>
      </c>
      <c r="C113">
        <v>2</v>
      </c>
      <c r="D113" t="s">
        <v>154</v>
      </c>
      <c r="E113" t="s">
        <v>317</v>
      </c>
    </row>
    <row r="114" spans="2:5" x14ac:dyDescent="0.3">
      <c r="B114" t="s">
        <v>152</v>
      </c>
      <c r="C114">
        <v>3</v>
      </c>
      <c r="D114" t="s">
        <v>155</v>
      </c>
      <c r="E114" t="s">
        <v>317</v>
      </c>
    </row>
    <row r="115" spans="2:5" x14ac:dyDescent="0.3">
      <c r="B115" t="s">
        <v>152</v>
      </c>
      <c r="C115">
        <v>4</v>
      </c>
      <c r="D115" t="s">
        <v>156</v>
      </c>
      <c r="E115" t="s">
        <v>317</v>
      </c>
    </row>
    <row r="116" spans="2:5" x14ac:dyDescent="0.3">
      <c r="B116" t="s">
        <v>152</v>
      </c>
      <c r="C116">
        <v>5</v>
      </c>
      <c r="D116" t="s">
        <v>157</v>
      </c>
      <c r="E116" t="s">
        <v>317</v>
      </c>
    </row>
    <row r="117" spans="2:5" x14ac:dyDescent="0.3">
      <c r="B117" t="s">
        <v>158</v>
      </c>
      <c r="C117">
        <v>1</v>
      </c>
      <c r="D117" t="s">
        <v>159</v>
      </c>
      <c r="E117" t="s">
        <v>317</v>
      </c>
    </row>
    <row r="118" spans="2:5" x14ac:dyDescent="0.3">
      <c r="B118" t="s">
        <v>158</v>
      </c>
      <c r="C118">
        <v>2</v>
      </c>
      <c r="D118" t="s">
        <v>160</v>
      </c>
      <c r="E118" t="s">
        <v>317</v>
      </c>
    </row>
    <row r="119" spans="2:5" x14ac:dyDescent="0.3">
      <c r="B119" t="s">
        <v>158</v>
      </c>
      <c r="C119">
        <v>3</v>
      </c>
      <c r="D119" t="s">
        <v>161</v>
      </c>
      <c r="E119" t="s">
        <v>317</v>
      </c>
    </row>
    <row r="120" spans="2:5" x14ac:dyDescent="0.3">
      <c r="B120" t="s">
        <v>158</v>
      </c>
      <c r="C120">
        <v>4</v>
      </c>
      <c r="D120" t="s">
        <v>162</v>
      </c>
      <c r="E120" t="s">
        <v>317</v>
      </c>
    </row>
    <row r="121" spans="2:5" x14ac:dyDescent="0.3">
      <c r="B121" t="s">
        <v>158</v>
      </c>
      <c r="C121">
        <v>5</v>
      </c>
      <c r="D121" t="s">
        <v>163</v>
      </c>
      <c r="E121" t="s">
        <v>317</v>
      </c>
    </row>
    <row r="122" spans="2:5" x14ac:dyDescent="0.3">
      <c r="B122" t="s">
        <v>164</v>
      </c>
      <c r="C122">
        <v>1</v>
      </c>
      <c r="D122" t="s">
        <v>165</v>
      </c>
      <c r="E122" t="s">
        <v>317</v>
      </c>
    </row>
    <row r="123" spans="2:5" x14ac:dyDescent="0.3">
      <c r="B123" t="s">
        <v>164</v>
      </c>
      <c r="C123">
        <v>2</v>
      </c>
      <c r="D123" t="s">
        <v>166</v>
      </c>
      <c r="E123" t="s">
        <v>317</v>
      </c>
    </row>
    <row r="124" spans="2:5" x14ac:dyDescent="0.3">
      <c r="B124" t="s">
        <v>164</v>
      </c>
      <c r="C124">
        <v>3</v>
      </c>
      <c r="D124" t="s">
        <v>167</v>
      </c>
      <c r="E124" t="s">
        <v>317</v>
      </c>
    </row>
    <row r="125" spans="2:5" x14ac:dyDescent="0.3">
      <c r="B125" t="s">
        <v>164</v>
      </c>
      <c r="C125">
        <v>4</v>
      </c>
      <c r="D125" t="s">
        <v>168</v>
      </c>
      <c r="E125" t="s">
        <v>317</v>
      </c>
    </row>
    <row r="126" spans="2:5" x14ac:dyDescent="0.3">
      <c r="B126" t="s">
        <v>164</v>
      </c>
      <c r="C126">
        <v>5</v>
      </c>
      <c r="D126" t="s">
        <v>169</v>
      </c>
      <c r="E126" t="s">
        <v>317</v>
      </c>
    </row>
    <row r="127" spans="2:5" x14ac:dyDescent="0.3">
      <c r="B127" t="s">
        <v>173</v>
      </c>
      <c r="C127">
        <v>1</v>
      </c>
      <c r="D127" t="s">
        <v>174</v>
      </c>
      <c r="E127" t="s">
        <v>318</v>
      </c>
    </row>
    <row r="128" spans="2:5" x14ac:dyDescent="0.3">
      <c r="B128" t="s">
        <v>173</v>
      </c>
      <c r="C128">
        <v>2</v>
      </c>
      <c r="D128" t="s">
        <v>175</v>
      </c>
      <c r="E128" t="s">
        <v>318</v>
      </c>
    </row>
    <row r="129" spans="2:5" x14ac:dyDescent="0.3">
      <c r="B129" t="s">
        <v>173</v>
      </c>
      <c r="C129">
        <v>3</v>
      </c>
      <c r="D129" t="s">
        <v>176</v>
      </c>
      <c r="E129" t="s">
        <v>318</v>
      </c>
    </row>
    <row r="130" spans="2:5" x14ac:dyDescent="0.3">
      <c r="B130" t="s">
        <v>173</v>
      </c>
      <c r="C130">
        <v>4</v>
      </c>
      <c r="D130" t="s">
        <v>177</v>
      </c>
      <c r="E130" t="s">
        <v>318</v>
      </c>
    </row>
    <row r="131" spans="2:5" x14ac:dyDescent="0.3">
      <c r="B131" t="s">
        <v>173</v>
      </c>
      <c r="C131">
        <v>5</v>
      </c>
      <c r="D131" t="s">
        <v>178</v>
      </c>
      <c r="E131" t="s">
        <v>318</v>
      </c>
    </row>
    <row r="132" spans="2:5" x14ac:dyDescent="0.3">
      <c r="B132" t="s">
        <v>179</v>
      </c>
      <c r="C132">
        <v>1</v>
      </c>
      <c r="D132" t="s">
        <v>180</v>
      </c>
      <c r="E132" t="s">
        <v>318</v>
      </c>
    </row>
    <row r="133" spans="2:5" x14ac:dyDescent="0.3">
      <c r="B133" t="s">
        <v>179</v>
      </c>
      <c r="C133">
        <v>2</v>
      </c>
      <c r="D133" t="s">
        <v>181</v>
      </c>
      <c r="E133" t="s">
        <v>318</v>
      </c>
    </row>
    <row r="134" spans="2:5" x14ac:dyDescent="0.3">
      <c r="B134" t="s">
        <v>179</v>
      </c>
      <c r="C134">
        <v>3</v>
      </c>
      <c r="D134" t="s">
        <v>182</v>
      </c>
      <c r="E134" t="s">
        <v>318</v>
      </c>
    </row>
    <row r="135" spans="2:5" x14ac:dyDescent="0.3">
      <c r="B135" t="s">
        <v>179</v>
      </c>
      <c r="C135">
        <v>4</v>
      </c>
      <c r="D135" t="s">
        <v>183</v>
      </c>
      <c r="E135" t="s">
        <v>318</v>
      </c>
    </row>
    <row r="136" spans="2:5" x14ac:dyDescent="0.3">
      <c r="B136" t="s">
        <v>179</v>
      </c>
      <c r="C136">
        <v>5</v>
      </c>
      <c r="D136" t="s">
        <v>184</v>
      </c>
      <c r="E136" t="s">
        <v>318</v>
      </c>
    </row>
    <row r="137" spans="2:5" x14ac:dyDescent="0.3">
      <c r="B137" t="s">
        <v>185</v>
      </c>
      <c r="C137">
        <v>1</v>
      </c>
      <c r="D137" t="s">
        <v>186</v>
      </c>
      <c r="E137" t="s">
        <v>318</v>
      </c>
    </row>
    <row r="138" spans="2:5" x14ac:dyDescent="0.3">
      <c r="B138" t="s">
        <v>185</v>
      </c>
      <c r="C138">
        <v>2</v>
      </c>
      <c r="D138" t="s">
        <v>187</v>
      </c>
      <c r="E138" t="s">
        <v>318</v>
      </c>
    </row>
    <row r="139" spans="2:5" x14ac:dyDescent="0.3">
      <c r="B139" t="s">
        <v>185</v>
      </c>
      <c r="C139">
        <v>3</v>
      </c>
      <c r="D139" t="s">
        <v>188</v>
      </c>
      <c r="E139" t="s">
        <v>318</v>
      </c>
    </row>
    <row r="140" spans="2:5" x14ac:dyDescent="0.3">
      <c r="B140" t="s">
        <v>185</v>
      </c>
      <c r="C140">
        <v>4</v>
      </c>
      <c r="D140" t="s">
        <v>189</v>
      </c>
      <c r="E140" t="s">
        <v>318</v>
      </c>
    </row>
    <row r="141" spans="2:5" x14ac:dyDescent="0.3">
      <c r="B141" t="s">
        <v>185</v>
      </c>
      <c r="C141">
        <v>5</v>
      </c>
      <c r="D141" t="s">
        <v>190</v>
      </c>
      <c r="E141" t="s">
        <v>318</v>
      </c>
    </row>
    <row r="142" spans="2:5" x14ac:dyDescent="0.3">
      <c r="B142" t="s">
        <v>191</v>
      </c>
      <c r="C142">
        <v>1</v>
      </c>
      <c r="D142" t="s">
        <v>192</v>
      </c>
      <c r="E142" t="s">
        <v>318</v>
      </c>
    </row>
    <row r="143" spans="2:5" x14ac:dyDescent="0.3">
      <c r="B143" t="s">
        <v>191</v>
      </c>
      <c r="C143">
        <v>2</v>
      </c>
      <c r="D143" t="s">
        <v>193</v>
      </c>
      <c r="E143" t="s">
        <v>318</v>
      </c>
    </row>
    <row r="144" spans="2:5" x14ac:dyDescent="0.3">
      <c r="B144" t="s">
        <v>191</v>
      </c>
      <c r="C144">
        <v>3</v>
      </c>
      <c r="D144" t="s">
        <v>194</v>
      </c>
      <c r="E144" t="s">
        <v>318</v>
      </c>
    </row>
    <row r="145" spans="2:5" x14ac:dyDescent="0.3">
      <c r="B145" t="s">
        <v>191</v>
      </c>
      <c r="C145">
        <v>4</v>
      </c>
      <c r="D145" t="s">
        <v>195</v>
      </c>
      <c r="E145" t="s">
        <v>318</v>
      </c>
    </row>
    <row r="146" spans="2:5" x14ac:dyDescent="0.3">
      <c r="B146" t="s">
        <v>191</v>
      </c>
      <c r="C146">
        <v>5</v>
      </c>
      <c r="D146" t="s">
        <v>196</v>
      </c>
      <c r="E146" t="s">
        <v>318</v>
      </c>
    </row>
    <row r="147" spans="2:5" x14ac:dyDescent="0.3">
      <c r="B147" t="s">
        <v>197</v>
      </c>
      <c r="C147">
        <v>1</v>
      </c>
      <c r="D147" t="s">
        <v>198</v>
      </c>
      <c r="E147" t="s">
        <v>318</v>
      </c>
    </row>
    <row r="148" spans="2:5" x14ac:dyDescent="0.3">
      <c r="B148" t="s">
        <v>197</v>
      </c>
      <c r="C148">
        <v>2</v>
      </c>
      <c r="D148" t="s">
        <v>199</v>
      </c>
      <c r="E148" t="s">
        <v>318</v>
      </c>
    </row>
    <row r="149" spans="2:5" x14ac:dyDescent="0.3">
      <c r="B149" t="s">
        <v>197</v>
      </c>
      <c r="C149">
        <v>3</v>
      </c>
      <c r="D149" t="s">
        <v>200</v>
      </c>
      <c r="E149" t="s">
        <v>318</v>
      </c>
    </row>
    <row r="150" spans="2:5" x14ac:dyDescent="0.3">
      <c r="B150" t="s">
        <v>197</v>
      </c>
      <c r="C150">
        <v>4</v>
      </c>
      <c r="D150" t="s">
        <v>201</v>
      </c>
      <c r="E150" t="s">
        <v>318</v>
      </c>
    </row>
    <row r="151" spans="2:5" x14ac:dyDescent="0.3">
      <c r="B151" t="s">
        <v>197</v>
      </c>
      <c r="C151">
        <v>5</v>
      </c>
      <c r="D151" t="s">
        <v>202</v>
      </c>
      <c r="E151" t="s">
        <v>318</v>
      </c>
    </row>
    <row r="152" spans="2:5" x14ac:dyDescent="0.3">
      <c r="B152" t="s">
        <v>206</v>
      </c>
      <c r="C152">
        <v>1</v>
      </c>
      <c r="D152" t="s">
        <v>207</v>
      </c>
      <c r="E152" t="s">
        <v>319</v>
      </c>
    </row>
    <row r="153" spans="2:5" x14ac:dyDescent="0.3">
      <c r="B153" t="s">
        <v>206</v>
      </c>
      <c r="C153">
        <v>2</v>
      </c>
      <c r="D153" t="s">
        <v>208</v>
      </c>
      <c r="E153" t="s">
        <v>319</v>
      </c>
    </row>
    <row r="154" spans="2:5" x14ac:dyDescent="0.3">
      <c r="B154" t="s">
        <v>206</v>
      </c>
      <c r="C154">
        <v>3</v>
      </c>
      <c r="D154" t="s">
        <v>209</v>
      </c>
      <c r="E154" t="s">
        <v>319</v>
      </c>
    </row>
    <row r="155" spans="2:5" x14ac:dyDescent="0.3">
      <c r="B155" t="s">
        <v>206</v>
      </c>
      <c r="C155">
        <v>4</v>
      </c>
      <c r="D155" t="s">
        <v>210</v>
      </c>
      <c r="E155" t="s">
        <v>319</v>
      </c>
    </row>
    <row r="156" spans="2:5" x14ac:dyDescent="0.3">
      <c r="B156" t="s">
        <v>206</v>
      </c>
      <c r="C156">
        <v>5</v>
      </c>
      <c r="D156" t="s">
        <v>211</v>
      </c>
      <c r="E156" t="s">
        <v>319</v>
      </c>
    </row>
    <row r="157" spans="2:5" x14ac:dyDescent="0.3">
      <c r="B157" t="s">
        <v>212</v>
      </c>
      <c r="C157">
        <v>1</v>
      </c>
      <c r="D157" t="s">
        <v>213</v>
      </c>
      <c r="E157" t="s">
        <v>319</v>
      </c>
    </row>
    <row r="158" spans="2:5" x14ac:dyDescent="0.3">
      <c r="B158" t="s">
        <v>212</v>
      </c>
      <c r="C158">
        <v>2</v>
      </c>
      <c r="D158" t="s">
        <v>214</v>
      </c>
      <c r="E158" t="s">
        <v>319</v>
      </c>
    </row>
    <row r="159" spans="2:5" x14ac:dyDescent="0.3">
      <c r="B159" t="s">
        <v>212</v>
      </c>
      <c r="C159">
        <v>3</v>
      </c>
      <c r="D159" t="s">
        <v>215</v>
      </c>
      <c r="E159" t="s">
        <v>319</v>
      </c>
    </row>
    <row r="160" spans="2:5" x14ac:dyDescent="0.3">
      <c r="B160" t="s">
        <v>212</v>
      </c>
      <c r="C160">
        <v>4</v>
      </c>
      <c r="D160" t="s">
        <v>216</v>
      </c>
      <c r="E160" t="s">
        <v>319</v>
      </c>
    </row>
    <row r="161" spans="2:5" x14ac:dyDescent="0.3">
      <c r="B161" t="s">
        <v>212</v>
      </c>
      <c r="C161">
        <v>5</v>
      </c>
      <c r="D161" t="s">
        <v>217</v>
      </c>
      <c r="E161" t="s">
        <v>319</v>
      </c>
    </row>
    <row r="162" spans="2:5" x14ac:dyDescent="0.3">
      <c r="B162" t="s">
        <v>218</v>
      </c>
      <c r="C162">
        <v>1</v>
      </c>
      <c r="D162" t="s">
        <v>219</v>
      </c>
      <c r="E162" t="s">
        <v>319</v>
      </c>
    </row>
    <row r="163" spans="2:5" x14ac:dyDescent="0.3">
      <c r="B163" t="s">
        <v>218</v>
      </c>
      <c r="C163">
        <v>2</v>
      </c>
      <c r="D163" t="s">
        <v>220</v>
      </c>
      <c r="E163" t="s">
        <v>319</v>
      </c>
    </row>
    <row r="164" spans="2:5" x14ac:dyDescent="0.3">
      <c r="B164" t="s">
        <v>218</v>
      </c>
      <c r="C164">
        <v>3</v>
      </c>
      <c r="D164" t="s">
        <v>221</v>
      </c>
      <c r="E164" t="s">
        <v>319</v>
      </c>
    </row>
    <row r="165" spans="2:5" x14ac:dyDescent="0.3">
      <c r="B165" t="s">
        <v>218</v>
      </c>
      <c r="C165">
        <v>4</v>
      </c>
      <c r="D165" t="s">
        <v>222</v>
      </c>
      <c r="E165" t="s">
        <v>319</v>
      </c>
    </row>
    <row r="166" spans="2:5" x14ac:dyDescent="0.3">
      <c r="B166" t="s">
        <v>218</v>
      </c>
      <c r="C166">
        <v>5</v>
      </c>
      <c r="D166" t="s">
        <v>223</v>
      </c>
      <c r="E166" t="s">
        <v>319</v>
      </c>
    </row>
    <row r="167" spans="2:5" x14ac:dyDescent="0.3">
      <c r="B167" t="s">
        <v>224</v>
      </c>
      <c r="C167">
        <v>1</v>
      </c>
      <c r="D167" t="s">
        <v>225</v>
      </c>
      <c r="E167" t="s">
        <v>319</v>
      </c>
    </row>
    <row r="168" spans="2:5" x14ac:dyDescent="0.3">
      <c r="B168" t="s">
        <v>224</v>
      </c>
      <c r="C168">
        <v>2</v>
      </c>
      <c r="D168" t="s">
        <v>226</v>
      </c>
      <c r="E168" t="s">
        <v>319</v>
      </c>
    </row>
    <row r="169" spans="2:5" x14ac:dyDescent="0.3">
      <c r="B169" t="s">
        <v>224</v>
      </c>
      <c r="C169">
        <v>3</v>
      </c>
      <c r="D169" t="s">
        <v>227</v>
      </c>
      <c r="E169" t="s">
        <v>319</v>
      </c>
    </row>
    <row r="170" spans="2:5" x14ac:dyDescent="0.3">
      <c r="B170" t="s">
        <v>224</v>
      </c>
      <c r="C170">
        <v>4</v>
      </c>
      <c r="D170" t="s">
        <v>228</v>
      </c>
      <c r="E170" t="s">
        <v>319</v>
      </c>
    </row>
    <row r="171" spans="2:5" x14ac:dyDescent="0.3">
      <c r="B171" t="s">
        <v>224</v>
      </c>
      <c r="C171">
        <v>5</v>
      </c>
      <c r="D171" t="s">
        <v>229</v>
      </c>
      <c r="E171" t="s">
        <v>319</v>
      </c>
    </row>
    <row r="172" spans="2:5" x14ac:dyDescent="0.3">
      <c r="B172" t="s">
        <v>230</v>
      </c>
      <c r="C172">
        <v>1</v>
      </c>
      <c r="D172" t="s">
        <v>231</v>
      </c>
      <c r="E172" t="s">
        <v>319</v>
      </c>
    </row>
    <row r="173" spans="2:5" x14ac:dyDescent="0.3">
      <c r="B173" t="s">
        <v>230</v>
      </c>
      <c r="C173">
        <v>2</v>
      </c>
      <c r="D173" t="s">
        <v>232</v>
      </c>
      <c r="E173" t="s">
        <v>319</v>
      </c>
    </row>
    <row r="174" spans="2:5" x14ac:dyDescent="0.3">
      <c r="B174" t="s">
        <v>230</v>
      </c>
      <c r="C174">
        <v>3</v>
      </c>
      <c r="D174" t="s">
        <v>233</v>
      </c>
      <c r="E174" t="s">
        <v>319</v>
      </c>
    </row>
    <row r="175" spans="2:5" x14ac:dyDescent="0.3">
      <c r="B175" t="s">
        <v>230</v>
      </c>
      <c r="C175">
        <v>4</v>
      </c>
      <c r="D175" t="s">
        <v>234</v>
      </c>
      <c r="E175" t="s">
        <v>319</v>
      </c>
    </row>
    <row r="176" spans="2:5" x14ac:dyDescent="0.3">
      <c r="B176" t="s">
        <v>230</v>
      </c>
      <c r="C176">
        <v>5</v>
      </c>
      <c r="D176" t="s">
        <v>235</v>
      </c>
      <c r="E176" t="s">
        <v>319</v>
      </c>
    </row>
    <row r="177" spans="2:5" x14ac:dyDescent="0.3">
      <c r="B177" t="s">
        <v>239</v>
      </c>
      <c r="C177">
        <v>1</v>
      </c>
      <c r="D177" t="s">
        <v>240</v>
      </c>
      <c r="E177" t="s">
        <v>320</v>
      </c>
    </row>
    <row r="178" spans="2:5" x14ac:dyDescent="0.3">
      <c r="B178" t="s">
        <v>239</v>
      </c>
      <c r="C178">
        <v>2</v>
      </c>
      <c r="D178" t="s">
        <v>241</v>
      </c>
      <c r="E178" t="s">
        <v>320</v>
      </c>
    </row>
    <row r="179" spans="2:5" x14ac:dyDescent="0.3">
      <c r="B179" t="s">
        <v>239</v>
      </c>
      <c r="C179">
        <v>3</v>
      </c>
      <c r="D179" t="s">
        <v>242</v>
      </c>
      <c r="E179" t="s">
        <v>320</v>
      </c>
    </row>
    <row r="180" spans="2:5" x14ac:dyDescent="0.3">
      <c r="B180" t="s">
        <v>239</v>
      </c>
      <c r="C180">
        <v>4</v>
      </c>
      <c r="D180" t="s">
        <v>243</v>
      </c>
      <c r="E180" t="s">
        <v>320</v>
      </c>
    </row>
    <row r="181" spans="2:5" x14ac:dyDescent="0.3">
      <c r="B181" t="s">
        <v>239</v>
      </c>
      <c r="C181">
        <v>5</v>
      </c>
      <c r="D181" t="s">
        <v>244</v>
      </c>
      <c r="E181" t="s">
        <v>320</v>
      </c>
    </row>
    <row r="182" spans="2:5" x14ac:dyDescent="0.3">
      <c r="B182" t="s">
        <v>245</v>
      </c>
      <c r="C182">
        <v>1</v>
      </c>
      <c r="D182" t="s">
        <v>246</v>
      </c>
      <c r="E182" t="s">
        <v>320</v>
      </c>
    </row>
    <row r="183" spans="2:5" x14ac:dyDescent="0.3">
      <c r="B183" t="s">
        <v>245</v>
      </c>
      <c r="C183">
        <v>2</v>
      </c>
      <c r="D183" t="s">
        <v>247</v>
      </c>
      <c r="E183" t="s">
        <v>320</v>
      </c>
    </row>
    <row r="184" spans="2:5" x14ac:dyDescent="0.3">
      <c r="B184" t="s">
        <v>245</v>
      </c>
      <c r="C184">
        <v>3</v>
      </c>
      <c r="D184" t="s">
        <v>248</v>
      </c>
      <c r="E184" t="s">
        <v>320</v>
      </c>
    </row>
    <row r="185" spans="2:5" x14ac:dyDescent="0.3">
      <c r="B185" t="s">
        <v>245</v>
      </c>
      <c r="C185">
        <v>4</v>
      </c>
      <c r="D185" t="s">
        <v>249</v>
      </c>
      <c r="E185" t="s">
        <v>320</v>
      </c>
    </row>
    <row r="186" spans="2:5" x14ac:dyDescent="0.3">
      <c r="B186" t="s">
        <v>245</v>
      </c>
      <c r="C186">
        <v>5</v>
      </c>
      <c r="D186" t="s">
        <v>250</v>
      </c>
      <c r="E186" t="s">
        <v>320</v>
      </c>
    </row>
    <row r="187" spans="2:5" x14ac:dyDescent="0.3">
      <c r="B187" t="s">
        <v>251</v>
      </c>
      <c r="C187">
        <v>1</v>
      </c>
      <c r="D187" t="s">
        <v>252</v>
      </c>
      <c r="E187" t="s">
        <v>320</v>
      </c>
    </row>
    <row r="188" spans="2:5" x14ac:dyDescent="0.3">
      <c r="B188" t="s">
        <v>251</v>
      </c>
      <c r="C188">
        <v>2</v>
      </c>
      <c r="D188" t="s">
        <v>253</v>
      </c>
      <c r="E188" t="s">
        <v>320</v>
      </c>
    </row>
    <row r="189" spans="2:5" x14ac:dyDescent="0.3">
      <c r="B189" t="s">
        <v>251</v>
      </c>
      <c r="C189">
        <v>3</v>
      </c>
      <c r="D189" t="s">
        <v>254</v>
      </c>
      <c r="E189" t="s">
        <v>320</v>
      </c>
    </row>
    <row r="190" spans="2:5" x14ac:dyDescent="0.3">
      <c r="B190" t="s">
        <v>251</v>
      </c>
      <c r="C190">
        <v>4</v>
      </c>
      <c r="D190" t="s">
        <v>255</v>
      </c>
      <c r="E190" t="s">
        <v>320</v>
      </c>
    </row>
    <row r="191" spans="2:5" x14ac:dyDescent="0.3">
      <c r="B191" t="s">
        <v>251</v>
      </c>
      <c r="C191">
        <v>5</v>
      </c>
      <c r="D191" t="s">
        <v>256</v>
      </c>
      <c r="E191" t="s">
        <v>320</v>
      </c>
    </row>
    <row r="192" spans="2:5" x14ac:dyDescent="0.3">
      <c r="B192" t="s">
        <v>257</v>
      </c>
      <c r="C192">
        <v>1</v>
      </c>
      <c r="D192" t="s">
        <v>258</v>
      </c>
      <c r="E192" t="s">
        <v>320</v>
      </c>
    </row>
    <row r="193" spans="2:5" x14ac:dyDescent="0.3">
      <c r="B193" t="s">
        <v>257</v>
      </c>
      <c r="C193">
        <v>2</v>
      </c>
      <c r="D193" t="s">
        <v>259</v>
      </c>
      <c r="E193" t="s">
        <v>320</v>
      </c>
    </row>
    <row r="194" spans="2:5" x14ac:dyDescent="0.3">
      <c r="B194" t="s">
        <v>257</v>
      </c>
      <c r="C194">
        <v>3</v>
      </c>
      <c r="D194" t="s">
        <v>260</v>
      </c>
      <c r="E194" t="s">
        <v>320</v>
      </c>
    </row>
    <row r="195" spans="2:5" x14ac:dyDescent="0.3">
      <c r="B195" t="s">
        <v>257</v>
      </c>
      <c r="C195">
        <v>4</v>
      </c>
      <c r="D195" t="s">
        <v>261</v>
      </c>
      <c r="E195" t="s">
        <v>320</v>
      </c>
    </row>
    <row r="196" spans="2:5" x14ac:dyDescent="0.3">
      <c r="B196" t="s">
        <v>257</v>
      </c>
      <c r="C196">
        <v>5</v>
      </c>
      <c r="D196" t="s">
        <v>262</v>
      </c>
      <c r="E196" t="s">
        <v>320</v>
      </c>
    </row>
    <row r="197" spans="2:5" x14ac:dyDescent="0.3">
      <c r="B197" t="s">
        <v>263</v>
      </c>
      <c r="C197">
        <v>1</v>
      </c>
      <c r="D197" t="s">
        <v>264</v>
      </c>
      <c r="E197" t="s">
        <v>320</v>
      </c>
    </row>
    <row r="198" spans="2:5" x14ac:dyDescent="0.3">
      <c r="B198" t="s">
        <v>263</v>
      </c>
      <c r="C198">
        <v>2</v>
      </c>
      <c r="D198" t="s">
        <v>265</v>
      </c>
      <c r="E198" t="s">
        <v>320</v>
      </c>
    </row>
    <row r="199" spans="2:5" x14ac:dyDescent="0.3">
      <c r="B199" t="s">
        <v>263</v>
      </c>
      <c r="C199">
        <v>3</v>
      </c>
      <c r="D199" t="s">
        <v>266</v>
      </c>
      <c r="E199" t="s">
        <v>320</v>
      </c>
    </row>
    <row r="200" spans="2:5" x14ac:dyDescent="0.3">
      <c r="B200" t="s">
        <v>263</v>
      </c>
      <c r="C200">
        <v>4</v>
      </c>
      <c r="D200" t="s">
        <v>267</v>
      </c>
      <c r="E200" t="s">
        <v>320</v>
      </c>
    </row>
    <row r="201" spans="2:5" x14ac:dyDescent="0.3">
      <c r="B201" t="s">
        <v>263</v>
      </c>
      <c r="C201">
        <v>5</v>
      </c>
      <c r="D201" t="s">
        <v>268</v>
      </c>
      <c r="E201" t="s">
        <v>320</v>
      </c>
    </row>
    <row r="202" spans="2:5" x14ac:dyDescent="0.3">
      <c r="B202" t="s">
        <v>272</v>
      </c>
      <c r="C202">
        <v>1</v>
      </c>
      <c r="D202" t="s">
        <v>273</v>
      </c>
      <c r="E202" t="s">
        <v>321</v>
      </c>
    </row>
    <row r="203" spans="2:5" x14ac:dyDescent="0.3">
      <c r="B203" t="s">
        <v>272</v>
      </c>
      <c r="C203">
        <v>2</v>
      </c>
      <c r="D203" t="s">
        <v>274</v>
      </c>
      <c r="E203" t="s">
        <v>321</v>
      </c>
    </row>
    <row r="204" spans="2:5" x14ac:dyDescent="0.3">
      <c r="B204" t="s">
        <v>272</v>
      </c>
      <c r="C204">
        <v>3</v>
      </c>
      <c r="D204" t="s">
        <v>275</v>
      </c>
      <c r="E204" t="s">
        <v>321</v>
      </c>
    </row>
    <row r="205" spans="2:5" x14ac:dyDescent="0.3">
      <c r="B205" t="s">
        <v>272</v>
      </c>
      <c r="C205">
        <v>4</v>
      </c>
      <c r="D205" t="s">
        <v>276</v>
      </c>
      <c r="E205" t="s">
        <v>321</v>
      </c>
    </row>
    <row r="206" spans="2:5" x14ac:dyDescent="0.3">
      <c r="B206" t="s">
        <v>272</v>
      </c>
      <c r="C206">
        <v>5</v>
      </c>
      <c r="D206" t="s">
        <v>277</v>
      </c>
      <c r="E206" t="s">
        <v>321</v>
      </c>
    </row>
    <row r="207" spans="2:5" x14ac:dyDescent="0.3">
      <c r="B207" t="s">
        <v>278</v>
      </c>
      <c r="C207">
        <v>1</v>
      </c>
      <c r="D207" t="s">
        <v>279</v>
      </c>
      <c r="E207" t="s">
        <v>321</v>
      </c>
    </row>
    <row r="208" spans="2:5" x14ac:dyDescent="0.3">
      <c r="B208" t="s">
        <v>278</v>
      </c>
      <c r="C208">
        <v>2</v>
      </c>
      <c r="D208" t="s">
        <v>280</v>
      </c>
      <c r="E208" t="s">
        <v>321</v>
      </c>
    </row>
    <row r="209" spans="2:5" x14ac:dyDescent="0.3">
      <c r="B209" t="s">
        <v>278</v>
      </c>
      <c r="C209">
        <v>3</v>
      </c>
      <c r="D209" t="s">
        <v>281</v>
      </c>
      <c r="E209" t="s">
        <v>321</v>
      </c>
    </row>
    <row r="210" spans="2:5" x14ac:dyDescent="0.3">
      <c r="B210" t="s">
        <v>278</v>
      </c>
      <c r="C210">
        <v>4</v>
      </c>
      <c r="D210" t="s">
        <v>282</v>
      </c>
      <c r="E210" t="s">
        <v>321</v>
      </c>
    </row>
    <row r="211" spans="2:5" x14ac:dyDescent="0.3">
      <c r="B211" t="s">
        <v>278</v>
      </c>
      <c r="C211">
        <v>5</v>
      </c>
      <c r="D211" t="s">
        <v>283</v>
      </c>
      <c r="E211" t="s">
        <v>321</v>
      </c>
    </row>
    <row r="212" spans="2:5" x14ac:dyDescent="0.3">
      <c r="B212" t="s">
        <v>284</v>
      </c>
      <c r="C212">
        <v>1</v>
      </c>
      <c r="D212" t="s">
        <v>285</v>
      </c>
      <c r="E212" t="s">
        <v>321</v>
      </c>
    </row>
    <row r="213" spans="2:5" x14ac:dyDescent="0.3">
      <c r="B213" t="s">
        <v>284</v>
      </c>
      <c r="C213">
        <v>2</v>
      </c>
      <c r="D213" t="s">
        <v>286</v>
      </c>
      <c r="E213" t="s">
        <v>321</v>
      </c>
    </row>
    <row r="214" spans="2:5" x14ac:dyDescent="0.3">
      <c r="B214" t="s">
        <v>284</v>
      </c>
      <c r="C214">
        <v>3</v>
      </c>
      <c r="D214" t="s">
        <v>287</v>
      </c>
      <c r="E214" t="s">
        <v>321</v>
      </c>
    </row>
    <row r="215" spans="2:5" x14ac:dyDescent="0.3">
      <c r="B215" t="s">
        <v>284</v>
      </c>
      <c r="C215">
        <v>4</v>
      </c>
      <c r="D215" t="s">
        <v>288</v>
      </c>
      <c r="E215" t="s">
        <v>321</v>
      </c>
    </row>
    <row r="216" spans="2:5" x14ac:dyDescent="0.3">
      <c r="B216" t="s">
        <v>284</v>
      </c>
      <c r="C216">
        <v>5</v>
      </c>
      <c r="D216" t="s">
        <v>289</v>
      </c>
      <c r="E216" t="s">
        <v>321</v>
      </c>
    </row>
    <row r="217" spans="2:5" x14ac:dyDescent="0.3">
      <c r="B217" t="s">
        <v>290</v>
      </c>
      <c r="C217">
        <v>1</v>
      </c>
      <c r="D217" t="s">
        <v>291</v>
      </c>
      <c r="E217" t="s">
        <v>321</v>
      </c>
    </row>
    <row r="218" spans="2:5" x14ac:dyDescent="0.3">
      <c r="B218" t="s">
        <v>290</v>
      </c>
      <c r="C218">
        <v>2</v>
      </c>
      <c r="D218" t="s">
        <v>292</v>
      </c>
      <c r="E218" t="s">
        <v>321</v>
      </c>
    </row>
    <row r="219" spans="2:5" x14ac:dyDescent="0.3">
      <c r="B219" t="s">
        <v>290</v>
      </c>
      <c r="C219">
        <v>3</v>
      </c>
      <c r="D219" t="s">
        <v>293</v>
      </c>
      <c r="E219" t="s">
        <v>321</v>
      </c>
    </row>
    <row r="220" spans="2:5" x14ac:dyDescent="0.3">
      <c r="B220" t="s">
        <v>290</v>
      </c>
      <c r="C220">
        <v>4</v>
      </c>
      <c r="D220" t="s">
        <v>294</v>
      </c>
      <c r="E220" t="s">
        <v>321</v>
      </c>
    </row>
    <row r="221" spans="2:5" x14ac:dyDescent="0.3">
      <c r="B221" t="s">
        <v>290</v>
      </c>
      <c r="C221">
        <v>5</v>
      </c>
      <c r="D221" t="s">
        <v>295</v>
      </c>
      <c r="E221" t="s">
        <v>321</v>
      </c>
    </row>
    <row r="222" spans="2:5" x14ac:dyDescent="0.3">
      <c r="B222" t="s">
        <v>296</v>
      </c>
      <c r="C222">
        <v>1</v>
      </c>
      <c r="D222" t="s">
        <v>297</v>
      </c>
      <c r="E222" t="s">
        <v>321</v>
      </c>
    </row>
    <row r="223" spans="2:5" x14ac:dyDescent="0.3">
      <c r="B223" t="s">
        <v>296</v>
      </c>
      <c r="C223">
        <v>2</v>
      </c>
      <c r="D223" t="s">
        <v>298</v>
      </c>
      <c r="E223" t="s">
        <v>321</v>
      </c>
    </row>
    <row r="224" spans="2:5" x14ac:dyDescent="0.3">
      <c r="B224" t="s">
        <v>296</v>
      </c>
      <c r="C224">
        <v>3</v>
      </c>
      <c r="D224" t="s">
        <v>299</v>
      </c>
      <c r="E224" t="s">
        <v>321</v>
      </c>
    </row>
    <row r="225" spans="2:5" x14ac:dyDescent="0.3">
      <c r="B225" t="s">
        <v>296</v>
      </c>
      <c r="C225">
        <v>4</v>
      </c>
      <c r="D225" t="s">
        <v>300</v>
      </c>
      <c r="E225" t="s">
        <v>321</v>
      </c>
    </row>
    <row r="226" spans="2:5" x14ac:dyDescent="0.3">
      <c r="B226" t="s">
        <v>296</v>
      </c>
      <c r="C226">
        <v>5</v>
      </c>
      <c r="D226" t="s">
        <v>301</v>
      </c>
      <c r="E226" t="s">
        <v>321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6eae98-6d94-42ab-952d-a5c45f66c42d" xsi:nil="true"/>
    <lcf76f155ced4ddcb4097134ff3c332f xmlns="786c08ec-dcac-4af0-993f-0e0ef4131ae7">
      <Terms xmlns="http://schemas.microsoft.com/office/infopath/2007/PartnerControls"/>
    </lcf76f155ced4ddcb4097134ff3c332f>
    <amine xmlns="786c08ec-dcac-4af0-993f-0e0ef4131ae7">
      <UserInfo>
        <DisplayName/>
        <AccountId xsi:nil="true"/>
        <AccountType/>
      </UserInfo>
    </amin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31C4676801F46ACDA3365975CD00B" ma:contentTypeVersion="13" ma:contentTypeDescription="Crée un document." ma:contentTypeScope="" ma:versionID="e0da231ac9e49c3b3cd70dfed6599a3d">
  <xsd:schema xmlns:xsd="http://www.w3.org/2001/XMLSchema" xmlns:xs="http://www.w3.org/2001/XMLSchema" xmlns:p="http://schemas.microsoft.com/office/2006/metadata/properties" xmlns:ns2="786c08ec-dcac-4af0-993f-0e0ef4131ae7" xmlns:ns3="146eae98-6d94-42ab-952d-a5c45f66c42d" targetNamespace="http://schemas.microsoft.com/office/2006/metadata/properties" ma:root="true" ma:fieldsID="e65eda6c7f88a7f82f15565af597359d" ns2:_="" ns3:_="">
    <xsd:import namespace="786c08ec-dcac-4af0-993f-0e0ef4131ae7"/>
    <xsd:import namespace="146eae98-6d94-42ab-952d-a5c45f66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am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c08ec-dcac-4af0-993f-0e0ef4131a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02814a34-7415-488a-b9ce-0336500841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mine" ma:index="20" nillable="true" ma:displayName="amine" ma:format="Dropdown" ma:list="UserInfo" ma:SharePointGroup="0" ma:internalName="amin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eae98-6d94-42ab-952d-a5c45f66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04b1cef-229e-4de4-98fd-c2a232dffd1e}" ma:internalName="TaxCatchAll" ma:showField="CatchAllData" ma:web="146eae98-6d94-42ab-952d-a5c45f66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43B4C1-1942-47CA-90EC-830C7B8BBA21}">
  <ds:schemaRefs>
    <ds:schemaRef ds:uri="http://schemas.microsoft.com/office/2006/metadata/properties"/>
    <ds:schemaRef ds:uri="http://schemas.microsoft.com/office/infopath/2007/PartnerControls"/>
    <ds:schemaRef ds:uri="146eae98-6d94-42ab-952d-a5c45f66c42d"/>
    <ds:schemaRef ds:uri="786c08ec-dcac-4af0-993f-0e0ef4131ae7"/>
  </ds:schemaRefs>
</ds:datastoreItem>
</file>

<file path=customXml/itemProps2.xml><?xml version="1.0" encoding="utf-8"?>
<ds:datastoreItem xmlns:ds="http://schemas.openxmlformats.org/officeDocument/2006/customXml" ds:itemID="{288EE0B8-3ED7-44B8-BA8E-BE06E6DFA4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BB3D54-222E-4051-AC48-5FF3AF935EE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1FB7E9E-C7C3-4312-B10C-F4E56B0F1D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c08ec-dcac-4af0-993f-0e0ef4131ae7"/>
    <ds:schemaRef ds:uri="146eae98-6d94-42ab-952d-a5c45f66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6</vt:i4>
      </vt:variant>
    </vt:vector>
  </HeadingPairs>
  <TitlesOfParts>
    <vt:vector size="13" baseType="lpstr">
      <vt:lpstr>Questionnaire</vt:lpstr>
      <vt:lpstr>Synthèse Résultats</vt:lpstr>
      <vt:lpstr>Urgent</vt:lpstr>
      <vt:lpstr>A améliorer</vt:lpstr>
      <vt:lpstr>Maintenir et renforcer</vt:lpstr>
      <vt:lpstr>Référentiel</vt:lpstr>
      <vt:lpstr>Recherche</vt:lpstr>
      <vt:lpstr>Recherche!L_1.1</vt:lpstr>
      <vt:lpstr>L_1.1</vt:lpstr>
      <vt:lpstr>Recherche!L_1.2</vt:lpstr>
      <vt:lpstr>L_1.2</vt:lpstr>
      <vt:lpstr>Recherche!L_11</vt:lpstr>
      <vt:lpstr>L_11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</dc:creator>
  <cp:keywords/>
  <dc:description/>
  <cp:lastModifiedBy>Michel Kremer</cp:lastModifiedBy>
  <cp:revision/>
  <dcterms:created xsi:type="dcterms:W3CDTF">2025-06-02T15:50:22Z</dcterms:created>
  <dcterms:modified xsi:type="dcterms:W3CDTF">2025-06-24T16:39:48Z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0x0101009A331C4676801F46ACDA3365975CD00B</vt:lpwstr>
  </property>
  <property fmtid="{D5CDD505-2E9C-101B-9397-08002B2CF9AE}" pid="3" name="MediaServiceImageTags">
    <vt:lpwstr/>
  </property>
</Properties>
</file>